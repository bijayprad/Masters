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asters\MSC\"/>
    </mc:Choice>
  </mc:AlternateContent>
  <bookViews>
    <workbookView xWindow="0" yWindow="0" windowWidth="20400" windowHeight="7650" activeTab="4"/>
  </bookViews>
  <sheets>
    <sheet name="Sheet1" sheetId="2" r:id="rId1"/>
    <sheet name="Sheet2" sheetId="3" r:id="rId2"/>
    <sheet name="Sheet3" sheetId="4" r:id="rId3"/>
    <sheet name="ANOVA" sheetId="5" r:id="rId4"/>
    <sheet name="Species Richness" sheetId="6" r:id="rId5"/>
    <sheet name="Sample data" sheetId="1" r:id="rId6"/>
  </sheets>
  <definedNames>
    <definedName name="_xlchart.0" hidden="1">'Sample data'!$E$2:$E$60</definedName>
    <definedName name="_xlchart.1" hidden="1">'Sample data'!$I$1</definedName>
    <definedName name="_xlchart.2" hidden="1">'Sample data'!$I$2:$I$60</definedName>
  </definedNames>
  <calcPr calcId="162913"/>
  <pivotCaches>
    <pivotCache cacheId="1" r:id="rId7"/>
  </pivotCaches>
</workbook>
</file>

<file path=xl/calcChain.xml><?xml version="1.0" encoding="utf-8"?>
<calcChain xmlns="http://schemas.openxmlformats.org/spreadsheetml/2006/main">
  <c r="U34" i="6" l="1"/>
  <c r="U35" i="6"/>
  <c r="U36" i="6"/>
  <c r="U37" i="6"/>
  <c r="U38" i="6"/>
  <c r="U39" i="6"/>
  <c r="U40" i="6"/>
  <c r="U41" i="6"/>
  <c r="U42" i="6"/>
  <c r="U43" i="6"/>
  <c r="U44" i="6"/>
  <c r="U45" i="6"/>
  <c r="U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A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B33" i="6"/>
  <c r="A20" i="6"/>
  <c r="A21" i="6"/>
  <c r="A22" i="6"/>
  <c r="A23" i="6"/>
  <c r="A24" i="6"/>
  <c r="A25" i="6"/>
  <c r="A26" i="6"/>
  <c r="A27" i="6"/>
  <c r="A28" i="6"/>
  <c r="A29" i="6"/>
  <c r="A30" i="6"/>
  <c r="A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B19" i="6"/>
  <c r="U6" i="6"/>
  <c r="U7" i="6"/>
  <c r="U8" i="6"/>
  <c r="U9" i="6"/>
  <c r="U10" i="6"/>
  <c r="U11" i="6"/>
  <c r="U12" i="6"/>
  <c r="U13" i="6"/>
  <c r="U14" i="6"/>
  <c r="U15" i="6"/>
  <c r="U16" i="6"/>
  <c r="U5" i="6"/>
  <c r="W6" i="6"/>
  <c r="W7" i="6"/>
  <c r="W8" i="6"/>
  <c r="W9" i="6"/>
  <c r="W10" i="6"/>
  <c r="W11" i="6"/>
  <c r="W12" i="6"/>
  <c r="W13" i="6"/>
  <c r="W14" i="6"/>
  <c r="W15" i="6"/>
  <c r="W16" i="6"/>
  <c r="W5" i="6"/>
  <c r="V6" i="6"/>
  <c r="V7" i="6"/>
  <c r="V8" i="6"/>
  <c r="V9" i="6"/>
  <c r="V10" i="6"/>
  <c r="V11" i="6"/>
  <c r="V12" i="6"/>
  <c r="V13" i="6"/>
  <c r="V14" i="6"/>
  <c r="V15" i="6"/>
  <c r="V16" i="6"/>
  <c r="V5" i="6"/>
  <c r="BG17" i="4" l="1"/>
  <c r="BH17" i="4" s="1"/>
  <c r="BG18" i="4"/>
  <c r="BH18" i="4" s="1"/>
  <c r="BG19" i="4"/>
  <c r="BH19" i="4" s="1"/>
  <c r="BG20" i="4"/>
  <c r="BH20" i="4" s="1"/>
  <c r="BG21" i="4"/>
  <c r="BH21" i="4" s="1"/>
  <c r="BG22" i="4"/>
  <c r="BH22" i="4" s="1"/>
  <c r="BG23" i="4"/>
  <c r="BH23" i="4" s="1"/>
  <c r="BG24" i="4"/>
  <c r="BH24" i="4" s="1"/>
  <c r="BG25" i="4"/>
  <c r="BH25" i="4" s="1"/>
  <c r="BG26" i="4"/>
  <c r="BH26" i="4" s="1"/>
  <c r="BG27" i="4"/>
  <c r="BH27" i="4" s="1"/>
  <c r="BG16" i="4"/>
  <c r="BH16" i="4" s="1"/>
  <c r="AQ16" i="4"/>
  <c r="AU16" i="4"/>
  <c r="AY16" i="4"/>
  <c r="BC16" i="4"/>
  <c r="AP17" i="4"/>
  <c r="AT17" i="4"/>
  <c r="AX17" i="4"/>
  <c r="BB17" i="4"/>
  <c r="AO18" i="4"/>
  <c r="AS18" i="4"/>
  <c r="AW18" i="4"/>
  <c r="BA18" i="4"/>
  <c r="BE18" i="4"/>
  <c r="AR19" i="4"/>
  <c r="AV19" i="4"/>
  <c r="AZ19" i="4"/>
  <c r="BD19" i="4"/>
  <c r="AQ20" i="4"/>
  <c r="AU20" i="4"/>
  <c r="AY20" i="4"/>
  <c r="BC20" i="4"/>
  <c r="AP21" i="4"/>
  <c r="AT21" i="4"/>
  <c r="AX21" i="4"/>
  <c r="BB21" i="4"/>
  <c r="AO22" i="4"/>
  <c r="AS22" i="4"/>
  <c r="AW22" i="4"/>
  <c r="BA22" i="4"/>
  <c r="BE22" i="4"/>
  <c r="AR23" i="4"/>
  <c r="AV23" i="4"/>
  <c r="AZ23" i="4"/>
  <c r="BD23" i="4"/>
  <c r="AQ24" i="4"/>
  <c r="AU24" i="4"/>
  <c r="AY24" i="4"/>
  <c r="BC24" i="4"/>
  <c r="BE24" i="4"/>
  <c r="AP25" i="4"/>
  <c r="AR25" i="4"/>
  <c r="AT25" i="4"/>
  <c r="AV25" i="4"/>
  <c r="AX25" i="4"/>
  <c r="AZ25" i="4"/>
  <c r="BB25" i="4"/>
  <c r="BD25" i="4"/>
  <c r="AO26" i="4"/>
  <c r="BF26" i="4" s="1"/>
  <c r="AQ26" i="4"/>
  <c r="AS26" i="4"/>
  <c r="AU26" i="4"/>
  <c r="AW26" i="4"/>
  <c r="AY26" i="4"/>
  <c r="BA26" i="4"/>
  <c r="BC26" i="4"/>
  <c r="BE26" i="4"/>
  <c r="AP27" i="4"/>
  <c r="AR27" i="4"/>
  <c r="AT27" i="4"/>
  <c r="AV27" i="4"/>
  <c r="AX27" i="4"/>
  <c r="AZ27" i="4"/>
  <c r="BB27" i="4"/>
  <c r="BD27" i="4"/>
  <c r="AN17" i="4"/>
  <c r="AN19" i="4"/>
  <c r="V16" i="4"/>
  <c r="AO16" i="4" s="1"/>
  <c r="W16" i="4"/>
  <c r="AP16" i="4" s="1"/>
  <c r="X16" i="4"/>
  <c r="Y16" i="4"/>
  <c r="AR16" i="4" s="1"/>
  <c r="Z16" i="4"/>
  <c r="AS16" i="4" s="1"/>
  <c r="AA16" i="4"/>
  <c r="AT16" i="4" s="1"/>
  <c r="AB16" i="4"/>
  <c r="AC16" i="4"/>
  <c r="AV16" i="4" s="1"/>
  <c r="AD16" i="4"/>
  <c r="AW16" i="4" s="1"/>
  <c r="AE16" i="4"/>
  <c r="AX16" i="4" s="1"/>
  <c r="AF16" i="4"/>
  <c r="AG16" i="4"/>
  <c r="AZ16" i="4" s="1"/>
  <c r="AH16" i="4"/>
  <c r="BA16" i="4" s="1"/>
  <c r="AI16" i="4"/>
  <c r="BB16" i="4" s="1"/>
  <c r="AJ16" i="4"/>
  <c r="AK16" i="4"/>
  <c r="BD16" i="4" s="1"/>
  <c r="AL16" i="4"/>
  <c r="BE16" i="4" s="1"/>
  <c r="V17" i="4"/>
  <c r="AO17" i="4" s="1"/>
  <c r="W17" i="4"/>
  <c r="X17" i="4"/>
  <c r="AQ17" i="4" s="1"/>
  <c r="Y17" i="4"/>
  <c r="AR17" i="4" s="1"/>
  <c r="Z17" i="4"/>
  <c r="AS17" i="4" s="1"/>
  <c r="AA17" i="4"/>
  <c r="AB17" i="4"/>
  <c r="AU17" i="4" s="1"/>
  <c r="AC17" i="4"/>
  <c r="AV17" i="4" s="1"/>
  <c r="AD17" i="4"/>
  <c r="AW17" i="4" s="1"/>
  <c r="AE17" i="4"/>
  <c r="AF17" i="4"/>
  <c r="AY17" i="4" s="1"/>
  <c r="AG17" i="4"/>
  <c r="AZ17" i="4" s="1"/>
  <c r="AH17" i="4"/>
  <c r="BA17" i="4" s="1"/>
  <c r="AI17" i="4"/>
  <c r="AJ17" i="4"/>
  <c r="BC17" i="4" s="1"/>
  <c r="AK17" i="4"/>
  <c r="BD17" i="4" s="1"/>
  <c r="AL17" i="4"/>
  <c r="BE17" i="4" s="1"/>
  <c r="V18" i="4"/>
  <c r="W18" i="4"/>
  <c r="AP18" i="4" s="1"/>
  <c r="X18" i="4"/>
  <c r="AQ18" i="4" s="1"/>
  <c r="Y18" i="4"/>
  <c r="AR18" i="4" s="1"/>
  <c r="Z18" i="4"/>
  <c r="AA18" i="4"/>
  <c r="AT18" i="4" s="1"/>
  <c r="AB18" i="4"/>
  <c r="AU18" i="4" s="1"/>
  <c r="AC18" i="4"/>
  <c r="AV18" i="4" s="1"/>
  <c r="AD18" i="4"/>
  <c r="AE18" i="4"/>
  <c r="AX18" i="4" s="1"/>
  <c r="AF18" i="4"/>
  <c r="AY18" i="4" s="1"/>
  <c r="AG18" i="4"/>
  <c r="AZ18" i="4" s="1"/>
  <c r="AH18" i="4"/>
  <c r="AI18" i="4"/>
  <c r="BB18" i="4" s="1"/>
  <c r="AJ18" i="4"/>
  <c r="BC18" i="4" s="1"/>
  <c r="AK18" i="4"/>
  <c r="BD18" i="4" s="1"/>
  <c r="AL18" i="4"/>
  <c r="V19" i="4"/>
  <c r="AO19" i="4" s="1"/>
  <c r="W19" i="4"/>
  <c r="AP19" i="4" s="1"/>
  <c r="X19" i="4"/>
  <c r="AQ19" i="4" s="1"/>
  <c r="Y19" i="4"/>
  <c r="Z19" i="4"/>
  <c r="AS19" i="4" s="1"/>
  <c r="AA19" i="4"/>
  <c r="AT19" i="4" s="1"/>
  <c r="AB19" i="4"/>
  <c r="AU19" i="4" s="1"/>
  <c r="AC19" i="4"/>
  <c r="AD19" i="4"/>
  <c r="AW19" i="4" s="1"/>
  <c r="AE19" i="4"/>
  <c r="AX19" i="4" s="1"/>
  <c r="AF19" i="4"/>
  <c r="AY19" i="4" s="1"/>
  <c r="AG19" i="4"/>
  <c r="AH19" i="4"/>
  <c r="BA19" i="4" s="1"/>
  <c r="AI19" i="4"/>
  <c r="BB19" i="4" s="1"/>
  <c r="AJ19" i="4"/>
  <c r="BC19" i="4" s="1"/>
  <c r="AK19" i="4"/>
  <c r="AL19" i="4"/>
  <c r="BE19" i="4" s="1"/>
  <c r="V20" i="4"/>
  <c r="AO20" i="4" s="1"/>
  <c r="W20" i="4"/>
  <c r="AP20" i="4" s="1"/>
  <c r="X20" i="4"/>
  <c r="Y20" i="4"/>
  <c r="AR20" i="4" s="1"/>
  <c r="Z20" i="4"/>
  <c r="AS20" i="4" s="1"/>
  <c r="AA20" i="4"/>
  <c r="AT20" i="4" s="1"/>
  <c r="AB20" i="4"/>
  <c r="AC20" i="4"/>
  <c r="AV20" i="4" s="1"/>
  <c r="AD20" i="4"/>
  <c r="AW20" i="4" s="1"/>
  <c r="AE20" i="4"/>
  <c r="AX20" i="4" s="1"/>
  <c r="AF20" i="4"/>
  <c r="AG20" i="4"/>
  <c r="AZ20" i="4" s="1"/>
  <c r="AH20" i="4"/>
  <c r="BA20" i="4" s="1"/>
  <c r="AI20" i="4"/>
  <c r="BB20" i="4" s="1"/>
  <c r="AJ20" i="4"/>
  <c r="AK20" i="4"/>
  <c r="BD20" i="4" s="1"/>
  <c r="AL20" i="4"/>
  <c r="BE20" i="4" s="1"/>
  <c r="V21" i="4"/>
  <c r="AO21" i="4" s="1"/>
  <c r="W21" i="4"/>
  <c r="X21" i="4"/>
  <c r="AQ21" i="4" s="1"/>
  <c r="Y21" i="4"/>
  <c r="AR21" i="4" s="1"/>
  <c r="Z21" i="4"/>
  <c r="AS21" i="4" s="1"/>
  <c r="AA21" i="4"/>
  <c r="AB21" i="4"/>
  <c r="AU21" i="4" s="1"/>
  <c r="AC21" i="4"/>
  <c r="AV21" i="4" s="1"/>
  <c r="AD21" i="4"/>
  <c r="AW21" i="4" s="1"/>
  <c r="AE21" i="4"/>
  <c r="AF21" i="4"/>
  <c r="AY21" i="4" s="1"/>
  <c r="AG21" i="4"/>
  <c r="AZ21" i="4" s="1"/>
  <c r="AH21" i="4"/>
  <c r="BA21" i="4" s="1"/>
  <c r="AI21" i="4"/>
  <c r="AJ21" i="4"/>
  <c r="BC21" i="4" s="1"/>
  <c r="AK21" i="4"/>
  <c r="BD21" i="4" s="1"/>
  <c r="AL21" i="4"/>
  <c r="BE21" i="4" s="1"/>
  <c r="V22" i="4"/>
  <c r="W22" i="4"/>
  <c r="AP22" i="4" s="1"/>
  <c r="X22" i="4"/>
  <c r="AQ22" i="4" s="1"/>
  <c r="Y22" i="4"/>
  <c r="AR22" i="4" s="1"/>
  <c r="Z22" i="4"/>
  <c r="AA22" i="4"/>
  <c r="AT22" i="4" s="1"/>
  <c r="AB22" i="4"/>
  <c r="AU22" i="4" s="1"/>
  <c r="AC22" i="4"/>
  <c r="AV22" i="4" s="1"/>
  <c r="AD22" i="4"/>
  <c r="AE22" i="4"/>
  <c r="AX22" i="4" s="1"/>
  <c r="AF22" i="4"/>
  <c r="AY22" i="4" s="1"/>
  <c r="AG22" i="4"/>
  <c r="AZ22" i="4" s="1"/>
  <c r="AH22" i="4"/>
  <c r="AI22" i="4"/>
  <c r="BB22" i="4" s="1"/>
  <c r="AJ22" i="4"/>
  <c r="BC22" i="4" s="1"/>
  <c r="AK22" i="4"/>
  <c r="BD22" i="4" s="1"/>
  <c r="AL22" i="4"/>
  <c r="V23" i="4"/>
  <c r="AO23" i="4" s="1"/>
  <c r="W23" i="4"/>
  <c r="AP23" i="4" s="1"/>
  <c r="X23" i="4"/>
  <c r="AQ23" i="4" s="1"/>
  <c r="Y23" i="4"/>
  <c r="Z23" i="4"/>
  <c r="AS23" i="4" s="1"/>
  <c r="AA23" i="4"/>
  <c r="AT23" i="4" s="1"/>
  <c r="AB23" i="4"/>
  <c r="AU23" i="4" s="1"/>
  <c r="AC23" i="4"/>
  <c r="AD23" i="4"/>
  <c r="AW23" i="4" s="1"/>
  <c r="AE23" i="4"/>
  <c r="AX23" i="4" s="1"/>
  <c r="AF23" i="4"/>
  <c r="AY23" i="4" s="1"/>
  <c r="AG23" i="4"/>
  <c r="AH23" i="4"/>
  <c r="BA23" i="4" s="1"/>
  <c r="AI23" i="4"/>
  <c r="BB23" i="4" s="1"/>
  <c r="AJ23" i="4"/>
  <c r="BC23" i="4" s="1"/>
  <c r="AK23" i="4"/>
  <c r="AL23" i="4"/>
  <c r="BE23" i="4" s="1"/>
  <c r="V24" i="4"/>
  <c r="AO24" i="4" s="1"/>
  <c r="W24" i="4"/>
  <c r="AP24" i="4" s="1"/>
  <c r="X24" i="4"/>
  <c r="Y24" i="4"/>
  <c r="AR24" i="4" s="1"/>
  <c r="Z24" i="4"/>
  <c r="AS24" i="4" s="1"/>
  <c r="AA24" i="4"/>
  <c r="AT24" i="4" s="1"/>
  <c r="AB24" i="4"/>
  <c r="AC24" i="4"/>
  <c r="AV24" i="4" s="1"/>
  <c r="AD24" i="4"/>
  <c r="AW24" i="4" s="1"/>
  <c r="AE24" i="4"/>
  <c r="AX24" i="4" s="1"/>
  <c r="AF24" i="4"/>
  <c r="AG24" i="4"/>
  <c r="AZ24" i="4" s="1"/>
  <c r="AH24" i="4"/>
  <c r="BA24" i="4" s="1"/>
  <c r="AI24" i="4"/>
  <c r="BB24" i="4" s="1"/>
  <c r="AJ24" i="4"/>
  <c r="AK24" i="4"/>
  <c r="BD24" i="4" s="1"/>
  <c r="AL24" i="4"/>
  <c r="V25" i="4"/>
  <c r="AO25" i="4" s="1"/>
  <c r="W25" i="4"/>
  <c r="X25" i="4"/>
  <c r="AQ25" i="4" s="1"/>
  <c r="Y25" i="4"/>
  <c r="Z25" i="4"/>
  <c r="AS25" i="4" s="1"/>
  <c r="AA25" i="4"/>
  <c r="AB25" i="4"/>
  <c r="AU25" i="4" s="1"/>
  <c r="AC25" i="4"/>
  <c r="AD25" i="4"/>
  <c r="AW25" i="4" s="1"/>
  <c r="AE25" i="4"/>
  <c r="AF25" i="4"/>
  <c r="AY25" i="4" s="1"/>
  <c r="AG25" i="4"/>
  <c r="AH25" i="4"/>
  <c r="BA25" i="4" s="1"/>
  <c r="AI25" i="4"/>
  <c r="AJ25" i="4"/>
  <c r="BC25" i="4" s="1"/>
  <c r="AK25" i="4"/>
  <c r="AL25" i="4"/>
  <c r="BE25" i="4" s="1"/>
  <c r="V26" i="4"/>
  <c r="W26" i="4"/>
  <c r="AP26" i="4" s="1"/>
  <c r="X26" i="4"/>
  <c r="Y26" i="4"/>
  <c r="AR26" i="4" s="1"/>
  <c r="Z26" i="4"/>
  <c r="AA26" i="4"/>
  <c r="AT26" i="4" s="1"/>
  <c r="AB26" i="4"/>
  <c r="AC26" i="4"/>
  <c r="AV26" i="4" s="1"/>
  <c r="AD26" i="4"/>
  <c r="AE26" i="4"/>
  <c r="AX26" i="4" s="1"/>
  <c r="AF26" i="4"/>
  <c r="AG26" i="4"/>
  <c r="AZ26" i="4" s="1"/>
  <c r="AH26" i="4"/>
  <c r="AI26" i="4"/>
  <c r="BB26" i="4" s="1"/>
  <c r="AJ26" i="4"/>
  <c r="AK26" i="4"/>
  <c r="BD26" i="4" s="1"/>
  <c r="AL26" i="4"/>
  <c r="V27" i="4"/>
  <c r="AO27" i="4" s="1"/>
  <c r="W27" i="4"/>
  <c r="X27" i="4"/>
  <c r="AQ27" i="4" s="1"/>
  <c r="Y27" i="4"/>
  <c r="Z27" i="4"/>
  <c r="AS27" i="4" s="1"/>
  <c r="AA27" i="4"/>
  <c r="AB27" i="4"/>
  <c r="AU27" i="4" s="1"/>
  <c r="AC27" i="4"/>
  <c r="AD27" i="4"/>
  <c r="AW27" i="4" s="1"/>
  <c r="AE27" i="4"/>
  <c r="AF27" i="4"/>
  <c r="AY27" i="4" s="1"/>
  <c r="AG27" i="4"/>
  <c r="AH27" i="4"/>
  <c r="BA27" i="4" s="1"/>
  <c r="AI27" i="4"/>
  <c r="AJ27" i="4"/>
  <c r="BC27" i="4" s="1"/>
  <c r="AK27" i="4"/>
  <c r="AL27" i="4"/>
  <c r="BE27" i="4" s="1"/>
  <c r="U20" i="4"/>
  <c r="AN20" i="4" s="1"/>
  <c r="U21" i="4"/>
  <c r="AN21" i="4" s="1"/>
  <c r="BF21" i="4" s="1"/>
  <c r="U22" i="4"/>
  <c r="AN22" i="4" s="1"/>
  <c r="BF22" i="4" s="1"/>
  <c r="U23" i="4"/>
  <c r="AN23" i="4" s="1"/>
  <c r="BF23" i="4" s="1"/>
  <c r="U24" i="4"/>
  <c r="AN24" i="4" s="1"/>
  <c r="U25" i="4"/>
  <c r="AN25" i="4" s="1"/>
  <c r="BF25" i="4" s="1"/>
  <c r="U26" i="4"/>
  <c r="AN26" i="4" s="1"/>
  <c r="U27" i="4"/>
  <c r="AN27" i="4" s="1"/>
  <c r="BF27" i="4" s="1"/>
  <c r="U19" i="4"/>
  <c r="U18" i="4"/>
  <c r="AN18" i="4" s="1"/>
  <c r="U17" i="4"/>
  <c r="U16" i="4"/>
  <c r="AN16" i="4" s="1"/>
  <c r="AO7" i="4"/>
  <c r="AS7" i="4"/>
  <c r="AN8" i="4"/>
  <c r="AP8" i="4"/>
  <c r="AR8" i="4"/>
  <c r="AT8" i="4"/>
  <c r="AV8" i="4"/>
  <c r="AX8" i="4"/>
  <c r="AZ8" i="4"/>
  <c r="BB8" i="4"/>
  <c r="BD8" i="4"/>
  <c r="AO5" i="4"/>
  <c r="AQ5" i="4"/>
  <c r="V5" i="4"/>
  <c r="W5" i="4"/>
  <c r="AP5" i="4" s="1"/>
  <c r="X5" i="4"/>
  <c r="Y5" i="4"/>
  <c r="AR5" i="4" s="1"/>
  <c r="Z5" i="4"/>
  <c r="AS5" i="4" s="1"/>
  <c r="AA5" i="4"/>
  <c r="AT5" i="4" s="1"/>
  <c r="AB5" i="4"/>
  <c r="AU5" i="4" s="1"/>
  <c r="AC5" i="4"/>
  <c r="AV5" i="4" s="1"/>
  <c r="AD5" i="4"/>
  <c r="AW5" i="4" s="1"/>
  <c r="AE5" i="4"/>
  <c r="AX5" i="4" s="1"/>
  <c r="AF5" i="4"/>
  <c r="AY5" i="4" s="1"/>
  <c r="AG5" i="4"/>
  <c r="AZ5" i="4" s="1"/>
  <c r="AH5" i="4"/>
  <c r="BA5" i="4" s="1"/>
  <c r="AI5" i="4"/>
  <c r="BB5" i="4" s="1"/>
  <c r="AJ5" i="4"/>
  <c r="BC5" i="4" s="1"/>
  <c r="AK5" i="4"/>
  <c r="BD5" i="4" s="1"/>
  <c r="AL5" i="4"/>
  <c r="BE5" i="4" s="1"/>
  <c r="V6" i="4"/>
  <c r="AO6" i="4" s="1"/>
  <c r="W6" i="4"/>
  <c r="AP6" i="4" s="1"/>
  <c r="X6" i="4"/>
  <c r="AQ6" i="4" s="1"/>
  <c r="Y6" i="4"/>
  <c r="AR6" i="4" s="1"/>
  <c r="Z6" i="4"/>
  <c r="AS6" i="4" s="1"/>
  <c r="AA6" i="4"/>
  <c r="AT6" i="4" s="1"/>
  <c r="AB6" i="4"/>
  <c r="AU6" i="4" s="1"/>
  <c r="AC6" i="4"/>
  <c r="AV6" i="4" s="1"/>
  <c r="AD6" i="4"/>
  <c r="AW6" i="4" s="1"/>
  <c r="AE6" i="4"/>
  <c r="AX6" i="4" s="1"/>
  <c r="AF6" i="4"/>
  <c r="AY6" i="4" s="1"/>
  <c r="AG6" i="4"/>
  <c r="AZ6" i="4" s="1"/>
  <c r="AH6" i="4"/>
  <c r="BA6" i="4" s="1"/>
  <c r="AI6" i="4"/>
  <c r="BB6" i="4" s="1"/>
  <c r="AJ6" i="4"/>
  <c r="BC6" i="4" s="1"/>
  <c r="AK6" i="4"/>
  <c r="BD6" i="4" s="1"/>
  <c r="AL6" i="4"/>
  <c r="BE6" i="4" s="1"/>
  <c r="V7" i="4"/>
  <c r="W7" i="4"/>
  <c r="AP7" i="4" s="1"/>
  <c r="X7" i="4"/>
  <c r="AQ7" i="4" s="1"/>
  <c r="Y7" i="4"/>
  <c r="AR7" i="4" s="1"/>
  <c r="Z7" i="4"/>
  <c r="AA7" i="4"/>
  <c r="AT7" i="4" s="1"/>
  <c r="AB7" i="4"/>
  <c r="AU7" i="4" s="1"/>
  <c r="AC7" i="4"/>
  <c r="AV7" i="4" s="1"/>
  <c r="AD7" i="4"/>
  <c r="AW7" i="4" s="1"/>
  <c r="AE7" i="4"/>
  <c r="AX7" i="4" s="1"/>
  <c r="AF7" i="4"/>
  <c r="AY7" i="4" s="1"/>
  <c r="AG7" i="4"/>
  <c r="AZ7" i="4" s="1"/>
  <c r="AH7" i="4"/>
  <c r="BA7" i="4" s="1"/>
  <c r="AI7" i="4"/>
  <c r="BB7" i="4" s="1"/>
  <c r="AJ7" i="4"/>
  <c r="BC7" i="4" s="1"/>
  <c r="AK7" i="4"/>
  <c r="BD7" i="4" s="1"/>
  <c r="AL7" i="4"/>
  <c r="BE7" i="4" s="1"/>
  <c r="V8" i="4"/>
  <c r="AO8" i="4" s="1"/>
  <c r="W8" i="4"/>
  <c r="X8" i="4"/>
  <c r="AQ8" i="4" s="1"/>
  <c r="Y8" i="4"/>
  <c r="Z8" i="4"/>
  <c r="AS8" i="4" s="1"/>
  <c r="AA8" i="4"/>
  <c r="AB8" i="4"/>
  <c r="AU8" i="4" s="1"/>
  <c r="AC8" i="4"/>
  <c r="AD8" i="4"/>
  <c r="AW8" i="4" s="1"/>
  <c r="AE8" i="4"/>
  <c r="AF8" i="4"/>
  <c r="AY8" i="4" s="1"/>
  <c r="AG8" i="4"/>
  <c r="AH8" i="4"/>
  <c r="BA8" i="4" s="1"/>
  <c r="AI8" i="4"/>
  <c r="AJ8" i="4"/>
  <c r="BC8" i="4" s="1"/>
  <c r="AK8" i="4"/>
  <c r="AL8" i="4"/>
  <c r="BE8" i="4" s="1"/>
  <c r="U6" i="4"/>
  <c r="AN6" i="4" s="1"/>
  <c r="U7" i="4"/>
  <c r="AN7" i="4" s="1"/>
  <c r="BF7" i="4" s="1"/>
  <c r="U8" i="4"/>
  <c r="U5" i="4"/>
  <c r="AN5" i="4" s="1"/>
  <c r="BF5" i="4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4" i="3"/>
  <c r="D4" i="3" s="1"/>
  <c r="D22" i="3" s="1"/>
  <c r="U24" i="2"/>
  <c r="U23" i="2"/>
  <c r="U22" i="2"/>
  <c r="U21" i="2"/>
  <c r="U14" i="2"/>
  <c r="U15" i="2"/>
  <c r="U16" i="2"/>
  <c r="U13" i="2"/>
  <c r="BF8" i="4" l="1"/>
  <c r="BF6" i="4"/>
  <c r="BF24" i="4"/>
  <c r="BF20" i="4"/>
  <c r="BF16" i="4"/>
  <c r="BF17" i="4"/>
  <c r="BF18" i="4"/>
  <c r="BF19" i="4"/>
</calcChain>
</file>

<file path=xl/sharedStrings.xml><?xml version="1.0" encoding="utf-8"?>
<sst xmlns="http://schemas.openxmlformats.org/spreadsheetml/2006/main" count="966" uniqueCount="150">
  <si>
    <t>Observation_ID</t>
  </si>
  <si>
    <t>Date</t>
  </si>
  <si>
    <t>Time</t>
  </si>
  <si>
    <t>Sampling_Site</t>
  </si>
  <si>
    <t>Habitat_Type</t>
  </si>
  <si>
    <t>Season</t>
  </si>
  <si>
    <t>Species_Name</t>
  </si>
  <si>
    <t>Species_Group</t>
  </si>
  <si>
    <t>Number_of_Individuals</t>
  </si>
  <si>
    <t>Sex</t>
  </si>
  <si>
    <t>Age_Group</t>
  </si>
  <si>
    <t>Observation_Method</t>
  </si>
  <si>
    <t>Latitude</t>
  </si>
  <si>
    <t>Longitude</t>
  </si>
  <si>
    <t>Elevation_m</t>
  </si>
  <si>
    <t>Temperature_C</t>
  </si>
  <si>
    <t>Relative_Humidity_pct</t>
  </si>
  <si>
    <t>Rainfall_mm</t>
  </si>
  <si>
    <t>Vegetation_Cover_pct</t>
  </si>
  <si>
    <t>Canopy_Cover_pct</t>
  </si>
  <si>
    <t>Food_Availability_Score_1_10</t>
  </si>
  <si>
    <t>Water_Availability</t>
  </si>
  <si>
    <t>Distance_from_Road_km</t>
  </si>
  <si>
    <t>Distance_from_Settlement_km</t>
  </si>
  <si>
    <t>Human_Activity_Count</t>
  </si>
  <si>
    <t>Livestock_Count</t>
  </si>
  <si>
    <t>Agricultural_Activity</t>
  </si>
  <si>
    <t>Waste_Pollution</t>
  </si>
  <si>
    <t>Habitat_Disturbance_Score_1_10</t>
  </si>
  <si>
    <t>AG01</t>
  </si>
  <si>
    <t>Agricultural Land</t>
  </si>
  <si>
    <t>Spring</t>
  </si>
  <si>
    <t>Gryllus bimaculatus</t>
  </si>
  <si>
    <t>Insect</t>
  </si>
  <si>
    <t>Unknown</t>
  </si>
  <si>
    <t>Sweep Net</t>
  </si>
  <si>
    <t>Available</t>
  </si>
  <si>
    <t>Yes</t>
  </si>
  <si>
    <t>None</t>
  </si>
  <si>
    <t>Summer</t>
  </si>
  <si>
    <t>Pycnonotus cafer</t>
  </si>
  <si>
    <t>Bird</t>
  </si>
  <si>
    <t>Male</t>
  </si>
  <si>
    <t>Adult</t>
  </si>
  <si>
    <t>Point Count</t>
  </si>
  <si>
    <t>Low</t>
  </si>
  <si>
    <t>15/04/2026</t>
  </si>
  <si>
    <t>Vanessa cardui</t>
  </si>
  <si>
    <t>Butterfly</t>
  </si>
  <si>
    <t>Line Transect</t>
  </si>
  <si>
    <t>19/04/2026</t>
  </si>
  <si>
    <t>Catopsilia pomona</t>
  </si>
  <si>
    <t>AG02</t>
  </si>
  <si>
    <t>Danaus chrysippus</t>
  </si>
  <si>
    <t>Not available</t>
  </si>
  <si>
    <t>14/07/2026</t>
  </si>
  <si>
    <t>Acridotheres tristis</t>
  </si>
  <si>
    <t>17/07/2026</t>
  </si>
  <si>
    <t>Junonia almana</t>
  </si>
  <si>
    <t>AG03</t>
  </si>
  <si>
    <t>Euphlyctis cyanophlyctis</t>
  </si>
  <si>
    <t>Frog</t>
  </si>
  <si>
    <t>Visual Encounter</t>
  </si>
  <si>
    <t>Fejervarya limnocharis</t>
  </si>
  <si>
    <t>Juvenile</t>
  </si>
  <si>
    <t>15/10/2026</t>
  </si>
  <si>
    <t>Autumn</t>
  </si>
  <si>
    <t>Passer domesticus</t>
  </si>
  <si>
    <t>13/01/2027</t>
  </si>
  <si>
    <t>CF01</t>
  </si>
  <si>
    <t>Community Forest</t>
  </si>
  <si>
    <t>Winter</t>
  </si>
  <si>
    <t>Calotes versicolor</t>
  </si>
  <si>
    <t>Lizard</t>
  </si>
  <si>
    <t>No</t>
  </si>
  <si>
    <t>13/07/2026</t>
  </si>
  <si>
    <t>14/04/2026</t>
  </si>
  <si>
    <t>Female</t>
  </si>
  <si>
    <t>Copsychus saularis</t>
  </si>
  <si>
    <t>16/01/2027</t>
  </si>
  <si>
    <t>17/04/2026</t>
  </si>
  <si>
    <t>Apis cerana</t>
  </si>
  <si>
    <t>18/01/2027</t>
  </si>
  <si>
    <t>CF02</t>
  </si>
  <si>
    <t>Duttaphrynus melanostictus</t>
  </si>
  <si>
    <t>Hemidactylus frenatus</t>
  </si>
  <si>
    <t>15/07/2026</t>
  </si>
  <si>
    <t>20/07/2026</t>
  </si>
  <si>
    <t>Papilio demoleus</t>
  </si>
  <si>
    <t>CF03</t>
  </si>
  <si>
    <t>14/01/2027</t>
  </si>
  <si>
    <t>18/07/2026</t>
  </si>
  <si>
    <t>19/07/2026</t>
  </si>
  <si>
    <t>20/04/2026</t>
  </si>
  <si>
    <t>18/10/2026</t>
  </si>
  <si>
    <t>SE01</t>
  </si>
  <si>
    <t>Settlement Edge</t>
  </si>
  <si>
    <t>Moderate</t>
  </si>
  <si>
    <t>Columba livia</t>
  </si>
  <si>
    <t>SE02</t>
  </si>
  <si>
    <t>SE03</t>
  </si>
  <si>
    <t>Rattus rattus</t>
  </si>
  <si>
    <t>Small Mammal</t>
  </si>
  <si>
    <t>Camera Trap</t>
  </si>
  <si>
    <t>16/10/2026</t>
  </si>
  <si>
    <t>WL01</t>
  </si>
  <si>
    <t>Wetland</t>
  </si>
  <si>
    <t>16/07/2026</t>
  </si>
  <si>
    <t>WL02</t>
  </si>
  <si>
    <t>WL03</t>
  </si>
  <si>
    <t>Row Labels</t>
  </si>
  <si>
    <t>Grand Total</t>
  </si>
  <si>
    <t>Count of Observation_ID</t>
  </si>
  <si>
    <t>Sum of Number_of_Individuals</t>
  </si>
  <si>
    <t>Average of Number_of_Individuals2</t>
  </si>
  <si>
    <t>Column Labels</t>
  </si>
  <si>
    <t>richness</t>
  </si>
  <si>
    <t>Habitat</t>
  </si>
  <si>
    <t>proportion</t>
  </si>
  <si>
    <t>Shannan</t>
  </si>
  <si>
    <t>AG</t>
  </si>
  <si>
    <t>CF</t>
  </si>
  <si>
    <t>SE</t>
  </si>
  <si>
    <t>WL</t>
  </si>
  <si>
    <t>Shonnon</t>
  </si>
  <si>
    <t>Location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</si>
  <si>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</si>
  <si>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</si>
  <si>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</si>
  <si>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</si>
  <si>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</si>
  <si>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</si>
  <si>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</si>
  <si>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</si>
  <si>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</si>
  <si>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</si>
  <si>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</si>
  <si>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</si>
  <si>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</si>
  <si>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</si>
  <si>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</si>
  <si>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</si>
  <si>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</si>
  <si>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</si>
  <si>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Count of Species_Name</t>
  </si>
  <si>
    <t>Richness</t>
  </si>
  <si>
    <t>Abundance</t>
  </si>
  <si>
    <t>Sampling Site</t>
  </si>
  <si>
    <t>Proportion</t>
  </si>
  <si>
    <t>Shannon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</si>
</sst>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6" fillId="0" borderId="12" xfId="0" applyFont="1" applyBorder="1"/>
    <xf numFmtId="0" fontId="0" fillId="0" borderId="12" xfId="0" applyBorder="1"/>
    <xf numFmtId="0" fontId="16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/>
    <cx:plotArea>
      <cx:plotAreaRegion>
        <cx:series layoutId="boxWhisker" uniqueId="{0F8B5CC4-367D-4090-B140-D2923C87AD0A}">
          <cx:tx>
            <cx:txData>
              <cx:f>_xlchart.1</cx:f>
              <cx:v>Number_of_Individuals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566737</xdr:colOff>
      <xdr:row>8</xdr:row>
      <xdr:rowOff>9525</xdr:rowOff>
    </xdr:from>
    <xdr:to>
      <xdr:col>22</xdr:col>
      <xdr:colOff>261937</xdr:colOff>
      <xdr:row>22</xdr:row>
      <xdr:rowOff>85725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47.975431134262" createdVersion="6" refreshedVersion="6" minRefreshableVersion="3" recordCount="59">
  <cacheSource type="worksheet">
    <worksheetSource ref="A1:AC60" sheet="Sample data"/>
  </cacheSource>
  <cacheFields count="29">
    <cacheField name="Observation_ID" numFmtId="0">
      <sharedItems containsSemiMixedTypes="0" containsString="0" containsNumber="1" containsInteger="1" minValue="1" maxValue="59"/>
    </cacheField>
    <cacheField name="Date" numFmtId="0">
      <sharedItems containsDate="1" containsMixedTypes="1" minDate="2026-10-04T00:00:00" maxDate="2027-12-02T00:00:00"/>
    </cacheField>
    <cacheField name="Time" numFmtId="20">
      <sharedItems containsSemiMixedTypes="0" containsNonDate="0" containsDate="1" containsString="0" minDate="1899-12-30T06:07:00" maxDate="1899-12-30T17:50:00"/>
    </cacheField>
    <cacheField name="Sampling_Site" numFmtId="0">
      <sharedItems count="12">
        <s v="AG01"/>
        <s v="AG02"/>
        <s v="AG03"/>
        <s v="CF01"/>
        <s v="CF02"/>
        <s v="CF03"/>
        <s v="SE01"/>
        <s v="SE02"/>
        <s v="SE03"/>
        <s v="WL01"/>
        <s v="WL02"/>
        <s v="WL03"/>
      </sharedItems>
    </cacheField>
    <cacheField name="Habitat_Type" numFmtId="0">
      <sharedItems count="4">
        <s v="Agricultural Land"/>
        <s v="Community Forest"/>
        <s v="Settlement Edge"/>
        <s v="Wetland"/>
      </sharedItems>
    </cacheField>
    <cacheField name="Season" numFmtId="0">
      <sharedItems count="4">
        <s v="Spring"/>
        <s v="Summer"/>
        <s v="Autumn"/>
        <s v="Winter"/>
      </sharedItems>
    </cacheField>
    <cacheField name="Species_Name" numFmtId="0">
      <sharedItems count="18">
        <s v="Gryllus bimaculatus"/>
        <s v="Pycnonotus cafer"/>
        <s v="Vanessa cardui"/>
        <s v="Catopsilia pomona"/>
        <s v="Danaus chrysippus"/>
        <s v="Acridotheres tristis"/>
        <s v="Junonia almana"/>
        <s v="Euphlyctis cyanophlyctis"/>
        <s v="Fejervarya limnocharis"/>
        <s v="Passer domesticus"/>
        <s v="Calotes versicolor"/>
        <s v="Copsychus saularis"/>
        <s v="Apis cerana"/>
        <s v="Duttaphrynus melanostictus"/>
        <s v="Hemidactylus frenatus"/>
        <s v="Papilio demoleus"/>
        <s v="Columba livia"/>
        <s v="Rattus rattus"/>
      </sharedItems>
    </cacheField>
    <cacheField name="Species_Group" numFmtId="0">
      <sharedItems/>
    </cacheField>
    <cacheField name="Number_of_Individuals" numFmtId="0">
      <sharedItems containsSemiMixedTypes="0" containsString="0" containsNumber="1" containsInteger="1" minValue="1" maxValue="11"/>
    </cacheField>
    <cacheField name="Sex" numFmtId="0">
      <sharedItems/>
    </cacheField>
    <cacheField name="Age_Group" numFmtId="0">
      <sharedItems/>
    </cacheField>
    <cacheField name="Observation_Method" numFmtId="0">
      <sharedItems/>
    </cacheField>
    <cacheField name="Latitude" numFmtId="0">
      <sharedItems containsSemiMixedTypes="0" containsString="0" containsNumber="1" minValue="27.657800000000002" maxValue="27.731100000000001"/>
    </cacheField>
    <cacheField name="Longitude" numFmtId="0">
      <sharedItems containsSemiMixedTypes="0" containsString="0" containsNumber="1" minValue="85.3215" maxValue="85.401799999999994"/>
    </cacheField>
    <cacheField name="Elevation_m" numFmtId="0">
      <sharedItems containsSemiMixedTypes="0" containsString="0" containsNumber="1" containsInteger="1" minValue="1275" maxValue="1585"/>
    </cacheField>
    <cacheField name="Temperature_C" numFmtId="0">
      <sharedItems containsSemiMixedTypes="0" containsString="0" containsNumber="1" minValue="13.6" maxValue="26.2"/>
    </cacheField>
    <cacheField name="Relative_Humidity_pct" numFmtId="0">
      <sharedItems containsSemiMixedTypes="0" containsString="0" containsNumber="1" minValue="50.8" maxValue="84.9"/>
    </cacheField>
    <cacheField name="Rainfall_mm" numFmtId="0">
      <sharedItems containsSemiMixedTypes="0" containsString="0" containsNumber="1" minValue="0.7" maxValue="176.6"/>
    </cacheField>
    <cacheField name="Vegetation_Cover_pct" numFmtId="0">
      <sharedItems containsSemiMixedTypes="0" containsString="0" containsNumber="1" minValue="26.4" maxValue="84.5"/>
    </cacheField>
    <cacheField name="Canopy_Cover_pct" numFmtId="0">
      <sharedItems containsSemiMixedTypes="0" containsString="0" containsNumber="1" minValue="11.1" maxValue="83.8"/>
    </cacheField>
    <cacheField name="Food_Availability_Score_1_10" numFmtId="0">
      <sharedItems containsSemiMixedTypes="0" containsString="0" containsNumber="1" minValue="3.9" maxValue="9.3000000000000007"/>
    </cacheField>
    <cacheField name="Water_Availability" numFmtId="0">
      <sharedItems/>
    </cacheField>
    <cacheField name="Distance_from_Road_km" numFmtId="0">
      <sharedItems containsSemiMixedTypes="0" containsString="0" containsNumber="1" minValue="0.03" maxValue="0.85"/>
    </cacheField>
    <cacheField name="Distance_from_Settlement_km" numFmtId="0">
      <sharedItems containsSemiMixedTypes="0" containsString="0" containsNumber="1" minValue="0.11" maxValue="2.06"/>
    </cacheField>
    <cacheField name="Human_Activity_Count" numFmtId="0">
      <sharedItems containsSemiMixedTypes="0" containsString="0" containsNumber="1" containsInteger="1" minValue="0" maxValue="11"/>
    </cacheField>
    <cacheField name="Livestock_Count" numFmtId="0">
      <sharedItems containsSemiMixedTypes="0" containsString="0" containsNumber="1" containsInteger="1" minValue="0" maxValue="7"/>
    </cacheField>
    <cacheField name="Agricultural_Activity" numFmtId="0">
      <sharedItems/>
    </cacheField>
    <cacheField name="Waste_Pollution" numFmtId="0">
      <sharedItems/>
    </cacheField>
    <cacheField name="Habitat_Disturbance_Score_1_10" numFmtId="0">
      <sharedItems containsSemiMixedTypes="0" containsString="0" containsNumber="1" minValue="1.2" maxValue="8.699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n v="1"/>
    <d v="2026-10-04T00:00:00"/>
    <d v="1899-12-30T08:04:00"/>
    <x v="0"/>
    <x v="0"/>
    <x v="0"/>
    <x v="0"/>
    <s v="Insect"/>
    <n v="8"/>
    <s v="Unknown"/>
    <s v="Unknown"/>
    <s v="Sweep Net"/>
    <n v="27.6631"/>
    <n v="85.386200000000002"/>
    <n v="1375"/>
    <n v="20.5"/>
    <n v="68.5"/>
    <n v="24.7"/>
    <n v="40.200000000000003"/>
    <n v="39.6"/>
    <n v="6.9"/>
    <s v="Available"/>
    <n v="0.5"/>
    <n v="0.63"/>
    <n v="11"/>
    <n v="7"/>
    <s v="Yes"/>
    <s v="None"/>
    <n v="5.5"/>
  </r>
  <r>
    <n v="2"/>
    <d v="2026-11-07T00:00:00"/>
    <d v="1899-12-30T09:53:00"/>
    <x v="0"/>
    <x v="0"/>
    <x v="1"/>
    <x v="1"/>
    <s v="Bird"/>
    <n v="7"/>
    <s v="Male"/>
    <s v="Adult"/>
    <s v="Point Count"/>
    <n v="27.6631"/>
    <n v="85.386200000000002"/>
    <n v="1375"/>
    <n v="24.8"/>
    <n v="77.7"/>
    <n v="86.7"/>
    <n v="45.4"/>
    <n v="33.799999999999997"/>
    <n v="6.7"/>
    <s v="Available"/>
    <n v="0.08"/>
    <n v="0.36"/>
    <n v="9"/>
    <n v="3"/>
    <s v="Yes"/>
    <s v="Low"/>
    <n v="6.3"/>
  </r>
  <r>
    <n v="3"/>
    <s v="15/04/2026"/>
    <d v="1899-12-30T08:20:00"/>
    <x v="0"/>
    <x v="0"/>
    <x v="0"/>
    <x v="2"/>
    <s v="Butterfly"/>
    <n v="1"/>
    <s v="Unknown"/>
    <s v="Unknown"/>
    <s v="Line Transect"/>
    <n v="27.6631"/>
    <n v="85.386200000000002"/>
    <n v="1375"/>
    <n v="20.5"/>
    <n v="68.5"/>
    <n v="24.7"/>
    <n v="40.200000000000003"/>
    <n v="39.6"/>
    <n v="6.9"/>
    <s v="Available"/>
    <n v="0.5"/>
    <n v="0.63"/>
    <n v="11"/>
    <n v="7"/>
    <s v="Yes"/>
    <s v="None"/>
    <n v="5.5"/>
  </r>
  <r>
    <n v="4"/>
    <s v="19/04/2026"/>
    <d v="1899-12-30T11:43:00"/>
    <x v="0"/>
    <x v="0"/>
    <x v="0"/>
    <x v="3"/>
    <s v="Butterfly"/>
    <n v="5"/>
    <s v="Unknown"/>
    <s v="Unknown"/>
    <s v="Line Transect"/>
    <n v="27.6631"/>
    <n v="85.386200000000002"/>
    <n v="1375"/>
    <n v="20.5"/>
    <n v="68.5"/>
    <n v="24.7"/>
    <n v="40.200000000000003"/>
    <n v="39.6"/>
    <n v="6.9"/>
    <s v="Available"/>
    <n v="0.5"/>
    <n v="0.63"/>
    <n v="11"/>
    <n v="7"/>
    <s v="Yes"/>
    <s v="None"/>
    <n v="5.5"/>
  </r>
  <r>
    <n v="5"/>
    <d v="2026-11-04T00:00:00"/>
    <d v="1899-12-30T10:54:00"/>
    <x v="1"/>
    <x v="0"/>
    <x v="0"/>
    <x v="4"/>
    <s v="Butterfly"/>
    <n v="2"/>
    <s v="Unknown"/>
    <s v="Unknown"/>
    <s v="Line Transect"/>
    <n v="27.657800000000002"/>
    <n v="85.397099999999995"/>
    <n v="1412"/>
    <n v="23.6"/>
    <n v="62.2"/>
    <n v="42"/>
    <n v="45.1"/>
    <n v="27.2"/>
    <n v="6.2"/>
    <s v="Not available"/>
    <n v="0.3"/>
    <n v="0.69"/>
    <n v="5"/>
    <n v="1"/>
    <s v="Yes"/>
    <s v="Low"/>
    <n v="6.7"/>
  </r>
  <r>
    <n v="6"/>
    <s v="14/07/2026"/>
    <d v="1899-12-30T07:36:00"/>
    <x v="1"/>
    <x v="0"/>
    <x v="1"/>
    <x v="5"/>
    <s v="Bird"/>
    <n v="1"/>
    <s v="Unknown"/>
    <s v="Adult"/>
    <s v="Point Count"/>
    <n v="27.657800000000002"/>
    <n v="85.397099999999995"/>
    <n v="1412"/>
    <n v="25.8"/>
    <n v="83.6"/>
    <n v="146.19999999999999"/>
    <n v="52.5"/>
    <n v="25.1"/>
    <n v="6.7"/>
    <s v="Available"/>
    <n v="0.21"/>
    <n v="0.4"/>
    <n v="10"/>
    <n v="2"/>
    <s v="Yes"/>
    <s v="None"/>
    <n v="6.2"/>
  </r>
  <r>
    <n v="7"/>
    <s v="17/07/2026"/>
    <d v="1899-12-30T08:04:00"/>
    <x v="1"/>
    <x v="0"/>
    <x v="1"/>
    <x v="6"/>
    <s v="Butterfly"/>
    <n v="6"/>
    <s v="Unknown"/>
    <s v="Unknown"/>
    <s v="Line Transect"/>
    <n v="27.657800000000002"/>
    <n v="85.397099999999995"/>
    <n v="1412"/>
    <n v="25.8"/>
    <n v="83.6"/>
    <n v="146.19999999999999"/>
    <n v="52.5"/>
    <n v="25.1"/>
    <n v="6.7"/>
    <s v="Available"/>
    <n v="0.21"/>
    <n v="0.4"/>
    <n v="10"/>
    <n v="2"/>
    <s v="Yes"/>
    <s v="None"/>
    <n v="6.2"/>
  </r>
  <r>
    <n v="8"/>
    <d v="2026-10-04T00:00:00"/>
    <d v="1899-12-30T07:36:00"/>
    <x v="2"/>
    <x v="0"/>
    <x v="0"/>
    <x v="7"/>
    <s v="Frog"/>
    <n v="6"/>
    <s v="Male"/>
    <s v="Adult"/>
    <s v="Visual Encounter"/>
    <n v="27.671500000000002"/>
    <n v="85.401799999999994"/>
    <n v="1390"/>
    <n v="19.600000000000001"/>
    <n v="59.4"/>
    <n v="41.6"/>
    <n v="49"/>
    <n v="26.9"/>
    <n v="7.6"/>
    <s v="Available"/>
    <n v="0.22"/>
    <n v="0.46"/>
    <n v="11"/>
    <n v="3"/>
    <s v="Yes"/>
    <s v="Low"/>
    <n v="5.9"/>
  </r>
  <r>
    <n v="9"/>
    <d v="2026-12-07T00:00:00"/>
    <d v="1899-12-30T14:59:00"/>
    <x v="2"/>
    <x v="0"/>
    <x v="1"/>
    <x v="8"/>
    <s v="Frog"/>
    <n v="3"/>
    <s v="Male"/>
    <s v="Adult"/>
    <s v="Visual Encounter"/>
    <n v="27.671500000000002"/>
    <n v="85.401799999999994"/>
    <n v="1390"/>
    <n v="25.8"/>
    <n v="70"/>
    <n v="118.9"/>
    <n v="57.3"/>
    <n v="30.3"/>
    <n v="7"/>
    <s v="Not available"/>
    <n v="0.43"/>
    <n v="0.5"/>
    <n v="3"/>
    <n v="3"/>
    <s v="Yes"/>
    <s v="Low"/>
    <n v="5.3"/>
  </r>
  <r>
    <n v="10"/>
    <s v="14/07/2026"/>
    <d v="1899-12-30T06:59:00"/>
    <x v="2"/>
    <x v="0"/>
    <x v="1"/>
    <x v="5"/>
    <s v="Bird"/>
    <n v="1"/>
    <s v="Male"/>
    <s v="Juvenile"/>
    <s v="Point Count"/>
    <n v="27.671500000000002"/>
    <n v="85.401799999999994"/>
    <n v="1390"/>
    <n v="25.8"/>
    <n v="70"/>
    <n v="118.9"/>
    <n v="57.3"/>
    <n v="30.3"/>
    <n v="7"/>
    <s v="Not available"/>
    <n v="0.43"/>
    <n v="0.5"/>
    <n v="3"/>
    <n v="3"/>
    <s v="Yes"/>
    <s v="Low"/>
    <n v="5.3"/>
  </r>
  <r>
    <n v="11"/>
    <s v="15/10/2026"/>
    <d v="1899-12-30T06:32:00"/>
    <x v="2"/>
    <x v="0"/>
    <x v="2"/>
    <x v="9"/>
    <s v="Bird"/>
    <n v="3"/>
    <s v="Unknown"/>
    <s v="Unknown"/>
    <s v="Point Count"/>
    <n v="27.671500000000002"/>
    <n v="85.401799999999994"/>
    <n v="1390"/>
    <n v="20.3"/>
    <n v="67.900000000000006"/>
    <n v="65.2"/>
    <n v="49.6"/>
    <n v="30.4"/>
    <n v="4.2"/>
    <s v="Not available"/>
    <n v="0.56999999999999995"/>
    <n v="0.42"/>
    <n v="7"/>
    <n v="5"/>
    <s v="Yes"/>
    <s v="Low"/>
    <n v="6.3"/>
  </r>
  <r>
    <n v="12"/>
    <s v="17/07/2026"/>
    <d v="1899-12-30T06:21:00"/>
    <x v="2"/>
    <x v="0"/>
    <x v="1"/>
    <x v="1"/>
    <s v="Bird"/>
    <n v="3"/>
    <s v="Male"/>
    <s v="Adult"/>
    <s v="Point Count"/>
    <n v="27.671500000000002"/>
    <n v="85.401799999999994"/>
    <n v="1390"/>
    <n v="25.8"/>
    <n v="70"/>
    <n v="118.9"/>
    <n v="57.3"/>
    <n v="30.3"/>
    <n v="7"/>
    <s v="Not available"/>
    <n v="0.43"/>
    <n v="0.5"/>
    <n v="3"/>
    <n v="3"/>
    <s v="Yes"/>
    <s v="Low"/>
    <n v="5.3"/>
  </r>
  <r>
    <n v="13"/>
    <s v="17/07/2026"/>
    <d v="1899-12-30T06:17:00"/>
    <x v="2"/>
    <x v="0"/>
    <x v="1"/>
    <x v="7"/>
    <s v="Frog"/>
    <n v="1"/>
    <s v="Unknown"/>
    <s v="Adult"/>
    <s v="Visual Encounter"/>
    <n v="27.671500000000002"/>
    <n v="85.401799999999994"/>
    <n v="1390"/>
    <n v="25.8"/>
    <n v="70"/>
    <n v="118.9"/>
    <n v="57.3"/>
    <n v="30.3"/>
    <n v="7"/>
    <s v="Not available"/>
    <n v="0.43"/>
    <n v="0.5"/>
    <n v="3"/>
    <n v="3"/>
    <s v="Yes"/>
    <s v="Low"/>
    <n v="5.3"/>
  </r>
  <r>
    <n v="14"/>
    <s v="13/01/2027"/>
    <d v="1899-12-30T16:05:00"/>
    <x v="3"/>
    <x v="1"/>
    <x v="3"/>
    <x v="10"/>
    <s v="Lizard"/>
    <n v="1"/>
    <s v="Male"/>
    <s v="Unknown"/>
    <s v="Visual Encounter"/>
    <n v="27.6812"/>
    <n v="85.334100000000007"/>
    <n v="1540"/>
    <n v="15.3"/>
    <n v="60.2"/>
    <n v="7.7"/>
    <n v="65.7"/>
    <n v="75.400000000000006"/>
    <n v="6.1"/>
    <s v="Not available"/>
    <n v="0.77"/>
    <n v="2.06"/>
    <n v="1"/>
    <n v="1"/>
    <s v="No"/>
    <s v="None"/>
    <n v="1.4"/>
  </r>
  <r>
    <n v="15"/>
    <s v="13/07/2026"/>
    <d v="1899-12-30T11:20:00"/>
    <x v="3"/>
    <x v="1"/>
    <x v="1"/>
    <x v="4"/>
    <s v="Butterfly"/>
    <n v="7"/>
    <s v="Unknown"/>
    <s v="Unknown"/>
    <s v="Line Transect"/>
    <n v="27.6812"/>
    <n v="85.334100000000007"/>
    <n v="1540"/>
    <n v="24.7"/>
    <n v="74.900000000000006"/>
    <n v="119.5"/>
    <n v="79.099999999999994"/>
    <n v="69.099999999999994"/>
    <n v="8.1"/>
    <s v="Not available"/>
    <n v="0.61"/>
    <n v="1.93"/>
    <n v="5"/>
    <n v="0"/>
    <s v="No"/>
    <s v="None"/>
    <n v="2.2999999999999998"/>
  </r>
  <r>
    <n v="16"/>
    <s v="14/04/2026"/>
    <d v="1899-12-30T12:28:00"/>
    <x v="3"/>
    <x v="1"/>
    <x v="0"/>
    <x v="9"/>
    <s v="Bird"/>
    <n v="5"/>
    <s v="Female"/>
    <s v="Adult"/>
    <s v="Point Count"/>
    <n v="27.6812"/>
    <n v="85.334100000000007"/>
    <n v="1540"/>
    <n v="20.9"/>
    <n v="67.900000000000006"/>
    <n v="50.6"/>
    <n v="73.8"/>
    <n v="70.400000000000006"/>
    <n v="8.9"/>
    <s v="Available"/>
    <n v="0.85"/>
    <n v="1.44"/>
    <n v="2"/>
    <n v="1"/>
    <s v="No"/>
    <s v="None"/>
    <n v="2.2000000000000002"/>
  </r>
  <r>
    <n v="17"/>
    <s v="15/04/2026"/>
    <d v="1899-12-30T13:44:00"/>
    <x v="3"/>
    <x v="1"/>
    <x v="0"/>
    <x v="11"/>
    <s v="Bird"/>
    <n v="4"/>
    <s v="Female"/>
    <s v="Adult"/>
    <s v="Point Count"/>
    <n v="27.6812"/>
    <n v="85.334100000000007"/>
    <n v="1540"/>
    <n v="20.9"/>
    <n v="67.900000000000006"/>
    <n v="50.6"/>
    <n v="73.8"/>
    <n v="70.400000000000006"/>
    <n v="8.9"/>
    <s v="Available"/>
    <n v="0.85"/>
    <n v="1.44"/>
    <n v="2"/>
    <n v="1"/>
    <s v="No"/>
    <s v="None"/>
    <n v="2.2000000000000002"/>
  </r>
  <r>
    <n v="18"/>
    <s v="16/01/2027"/>
    <d v="1899-12-30T06:27:00"/>
    <x v="3"/>
    <x v="1"/>
    <x v="3"/>
    <x v="9"/>
    <s v="Bird"/>
    <n v="3"/>
    <s v="Female"/>
    <s v="Unknown"/>
    <s v="Point Count"/>
    <n v="27.6812"/>
    <n v="85.334100000000007"/>
    <n v="1540"/>
    <n v="15.3"/>
    <n v="60.2"/>
    <n v="7.7"/>
    <n v="65.7"/>
    <n v="75.400000000000006"/>
    <n v="6.1"/>
    <s v="Not available"/>
    <n v="0.77"/>
    <n v="2.06"/>
    <n v="1"/>
    <n v="1"/>
    <s v="No"/>
    <s v="None"/>
    <n v="1.4"/>
  </r>
  <r>
    <n v="19"/>
    <s v="17/04/2026"/>
    <d v="1899-12-30T06:07:00"/>
    <x v="3"/>
    <x v="1"/>
    <x v="0"/>
    <x v="12"/>
    <s v="Insect"/>
    <n v="9"/>
    <s v="Unknown"/>
    <s v="Unknown"/>
    <s v="Sweep Net"/>
    <n v="27.6812"/>
    <n v="85.334100000000007"/>
    <n v="1540"/>
    <n v="20.9"/>
    <n v="67.900000000000006"/>
    <n v="50.6"/>
    <n v="73.8"/>
    <n v="70.400000000000006"/>
    <n v="8.9"/>
    <s v="Available"/>
    <n v="0.85"/>
    <n v="1.44"/>
    <n v="2"/>
    <n v="1"/>
    <s v="No"/>
    <s v="None"/>
    <n v="2.2000000000000002"/>
  </r>
  <r>
    <n v="20"/>
    <s v="18/01/2027"/>
    <d v="1899-12-30T17:13:00"/>
    <x v="3"/>
    <x v="1"/>
    <x v="3"/>
    <x v="1"/>
    <s v="Bird"/>
    <n v="1"/>
    <s v="Male"/>
    <s v="Unknown"/>
    <s v="Point Count"/>
    <n v="27.6812"/>
    <n v="85.334100000000007"/>
    <n v="1540"/>
    <n v="15.3"/>
    <n v="60.2"/>
    <n v="7.7"/>
    <n v="65.7"/>
    <n v="75.400000000000006"/>
    <n v="6.1"/>
    <s v="Not available"/>
    <n v="0.77"/>
    <n v="2.06"/>
    <n v="1"/>
    <n v="1"/>
    <s v="No"/>
    <s v="None"/>
    <n v="1.4"/>
  </r>
  <r>
    <n v="21"/>
    <d v="2027-10-01T00:00:00"/>
    <d v="1899-12-30T13:33:00"/>
    <x v="4"/>
    <x v="1"/>
    <x v="3"/>
    <x v="13"/>
    <s v="Frog"/>
    <n v="1"/>
    <s v="Unknown"/>
    <s v="Adult"/>
    <s v="Visual Encounter"/>
    <n v="27.674800000000001"/>
    <n v="85.347200000000001"/>
    <n v="1585"/>
    <n v="13.6"/>
    <n v="55.9"/>
    <n v="15.2"/>
    <n v="82.8"/>
    <n v="80.8"/>
    <n v="7.7"/>
    <s v="Not available"/>
    <n v="0.72"/>
    <n v="1.71"/>
    <n v="4"/>
    <n v="0"/>
    <s v="No"/>
    <s v="Low"/>
    <n v="1.8"/>
  </r>
  <r>
    <n v="22"/>
    <d v="2026-10-04T00:00:00"/>
    <d v="1899-12-30T14:36:00"/>
    <x v="4"/>
    <x v="1"/>
    <x v="0"/>
    <x v="11"/>
    <s v="Bird"/>
    <n v="7"/>
    <s v="Female"/>
    <s v="Adult"/>
    <s v="Point Count"/>
    <n v="27.674800000000001"/>
    <n v="85.347200000000001"/>
    <n v="1585"/>
    <n v="22.1"/>
    <n v="63.5"/>
    <n v="41.5"/>
    <n v="75.900000000000006"/>
    <n v="71.900000000000006"/>
    <n v="8"/>
    <s v="Not available"/>
    <n v="0.44"/>
    <n v="1.96"/>
    <n v="4"/>
    <n v="0"/>
    <s v="No"/>
    <s v="None"/>
    <n v="2.1"/>
  </r>
  <r>
    <n v="23"/>
    <d v="2026-11-07T00:00:00"/>
    <d v="1899-12-30T17:45:00"/>
    <x v="4"/>
    <x v="1"/>
    <x v="1"/>
    <x v="8"/>
    <s v="Frog"/>
    <n v="4"/>
    <s v="Unknown"/>
    <s v="Juvenile"/>
    <s v="Visual Encounter"/>
    <n v="27.674800000000001"/>
    <n v="85.347200000000001"/>
    <n v="1585"/>
    <n v="25"/>
    <n v="72"/>
    <n v="176.6"/>
    <n v="84.5"/>
    <n v="83.8"/>
    <n v="8.3000000000000007"/>
    <s v="Available"/>
    <n v="0.59"/>
    <n v="2.0099999999999998"/>
    <n v="2"/>
    <n v="0"/>
    <s v="No"/>
    <s v="None"/>
    <n v="2.8"/>
  </r>
  <r>
    <n v="24"/>
    <d v="2026-11-10T00:00:00"/>
    <d v="1899-12-30T10:02:00"/>
    <x v="4"/>
    <x v="1"/>
    <x v="2"/>
    <x v="6"/>
    <s v="Butterfly"/>
    <n v="3"/>
    <s v="Unknown"/>
    <s v="Unknown"/>
    <s v="Line Transect"/>
    <n v="27.674800000000001"/>
    <n v="85.347200000000001"/>
    <n v="1585"/>
    <n v="21.7"/>
    <n v="73.099999999999994"/>
    <n v="26"/>
    <n v="83.4"/>
    <n v="80.099999999999994"/>
    <n v="6"/>
    <s v="Available"/>
    <n v="0.44"/>
    <n v="1.53"/>
    <n v="0"/>
    <n v="1"/>
    <s v="No"/>
    <s v="Low"/>
    <n v="1.2"/>
  </r>
  <r>
    <n v="25"/>
    <s v="14/07/2026"/>
    <d v="1899-12-30T06:22:00"/>
    <x v="4"/>
    <x v="1"/>
    <x v="1"/>
    <x v="14"/>
    <s v="Lizard"/>
    <n v="3"/>
    <s v="Male"/>
    <s v="Juvenile"/>
    <s v="Visual Encounter"/>
    <n v="27.674800000000001"/>
    <n v="85.347200000000001"/>
    <n v="1585"/>
    <n v="25"/>
    <n v="72"/>
    <n v="176.6"/>
    <n v="84.5"/>
    <n v="83.8"/>
    <n v="8.3000000000000007"/>
    <s v="Available"/>
    <n v="0.59"/>
    <n v="2.0099999999999998"/>
    <n v="2"/>
    <n v="0"/>
    <s v="No"/>
    <s v="None"/>
    <n v="2.8"/>
  </r>
  <r>
    <n v="26"/>
    <s v="15/07/2026"/>
    <d v="1899-12-30T13:40:00"/>
    <x v="4"/>
    <x v="1"/>
    <x v="1"/>
    <x v="11"/>
    <s v="Bird"/>
    <n v="2"/>
    <s v="Male"/>
    <s v="Adult"/>
    <s v="Point Count"/>
    <n v="27.674800000000001"/>
    <n v="85.347200000000001"/>
    <n v="1585"/>
    <n v="25"/>
    <n v="72"/>
    <n v="176.6"/>
    <n v="84.5"/>
    <n v="83.8"/>
    <n v="8.3000000000000007"/>
    <s v="Available"/>
    <n v="0.59"/>
    <n v="2.0099999999999998"/>
    <n v="2"/>
    <n v="0"/>
    <s v="No"/>
    <s v="None"/>
    <n v="2.8"/>
  </r>
  <r>
    <n v="27"/>
    <s v="15/07/2026"/>
    <d v="1899-12-30T17:47:00"/>
    <x v="4"/>
    <x v="1"/>
    <x v="1"/>
    <x v="2"/>
    <s v="Butterfly"/>
    <n v="4"/>
    <s v="Unknown"/>
    <s v="Unknown"/>
    <s v="Line Transect"/>
    <n v="27.674800000000001"/>
    <n v="85.347200000000001"/>
    <n v="1585"/>
    <n v="25"/>
    <n v="72"/>
    <n v="176.6"/>
    <n v="84.5"/>
    <n v="83.8"/>
    <n v="8.3000000000000007"/>
    <s v="Available"/>
    <n v="0.59"/>
    <n v="2.0099999999999998"/>
    <n v="2"/>
    <n v="0"/>
    <s v="No"/>
    <s v="None"/>
    <n v="2.8"/>
  </r>
  <r>
    <n v="28"/>
    <s v="18/01/2027"/>
    <d v="1899-12-30T17:21:00"/>
    <x v="4"/>
    <x v="1"/>
    <x v="3"/>
    <x v="2"/>
    <s v="Butterfly"/>
    <n v="3"/>
    <s v="Unknown"/>
    <s v="Unknown"/>
    <s v="Line Transect"/>
    <n v="27.674800000000001"/>
    <n v="85.347200000000001"/>
    <n v="1585"/>
    <n v="13.6"/>
    <n v="55.9"/>
    <n v="15.2"/>
    <n v="82.8"/>
    <n v="80.8"/>
    <n v="7.7"/>
    <s v="Not available"/>
    <n v="0.72"/>
    <n v="1.71"/>
    <n v="4"/>
    <n v="0"/>
    <s v="No"/>
    <s v="Low"/>
    <n v="1.8"/>
  </r>
  <r>
    <n v="29"/>
    <s v="20/07/2026"/>
    <d v="1899-12-30T10:12:00"/>
    <x v="4"/>
    <x v="1"/>
    <x v="1"/>
    <x v="15"/>
    <s v="Butterfly"/>
    <n v="3"/>
    <s v="Unknown"/>
    <s v="Unknown"/>
    <s v="Line Transect"/>
    <n v="27.674800000000001"/>
    <n v="85.347200000000001"/>
    <n v="1585"/>
    <n v="25"/>
    <n v="72"/>
    <n v="176.6"/>
    <n v="84.5"/>
    <n v="83.8"/>
    <n v="8.3000000000000007"/>
    <s v="Available"/>
    <n v="0.59"/>
    <n v="2.0099999999999998"/>
    <n v="2"/>
    <n v="0"/>
    <s v="No"/>
    <s v="None"/>
    <n v="2.8"/>
  </r>
  <r>
    <n v="30"/>
    <d v="2027-12-01T00:00:00"/>
    <d v="1899-12-30T13:03:00"/>
    <x v="5"/>
    <x v="1"/>
    <x v="3"/>
    <x v="9"/>
    <s v="Bird"/>
    <n v="4"/>
    <s v="Male"/>
    <s v="Unknown"/>
    <s v="Point Count"/>
    <n v="27.6921"/>
    <n v="85.3215"/>
    <n v="1498"/>
    <n v="17.899999999999999"/>
    <n v="54.1"/>
    <n v="2.2000000000000002"/>
    <n v="73.2"/>
    <n v="74.2"/>
    <n v="7"/>
    <s v="Not available"/>
    <n v="0.68"/>
    <n v="1.8"/>
    <n v="3"/>
    <n v="1"/>
    <s v="No"/>
    <s v="None"/>
    <n v="1.3"/>
  </r>
  <r>
    <n v="31"/>
    <d v="2027-12-01T00:00:00"/>
    <d v="1899-12-30T10:06:00"/>
    <x v="5"/>
    <x v="1"/>
    <x v="3"/>
    <x v="6"/>
    <s v="Butterfly"/>
    <n v="1"/>
    <s v="Unknown"/>
    <s v="Unknown"/>
    <s v="Line Transect"/>
    <n v="27.6921"/>
    <n v="85.3215"/>
    <n v="1498"/>
    <n v="17.899999999999999"/>
    <n v="54.1"/>
    <n v="2.2000000000000002"/>
    <n v="73.2"/>
    <n v="74.2"/>
    <n v="7"/>
    <s v="Not available"/>
    <n v="0.68"/>
    <n v="1.8"/>
    <n v="3"/>
    <n v="1"/>
    <s v="No"/>
    <s v="None"/>
    <n v="1.3"/>
  </r>
  <r>
    <n v="32"/>
    <s v="14/01/2027"/>
    <d v="1899-12-30T09:27:00"/>
    <x v="5"/>
    <x v="1"/>
    <x v="3"/>
    <x v="12"/>
    <s v="Insect"/>
    <n v="5"/>
    <s v="Unknown"/>
    <s v="Unknown"/>
    <s v="Sweep Net"/>
    <n v="27.6921"/>
    <n v="85.3215"/>
    <n v="1498"/>
    <n v="17.899999999999999"/>
    <n v="54.1"/>
    <n v="2.2000000000000002"/>
    <n v="73.2"/>
    <n v="74.2"/>
    <n v="7"/>
    <s v="Not available"/>
    <n v="0.68"/>
    <n v="1.8"/>
    <n v="3"/>
    <n v="1"/>
    <s v="No"/>
    <s v="None"/>
    <n v="1.3"/>
  </r>
  <r>
    <n v="33"/>
    <s v="14/07/2026"/>
    <d v="1899-12-30T17:19:00"/>
    <x v="5"/>
    <x v="1"/>
    <x v="1"/>
    <x v="15"/>
    <s v="Butterfly"/>
    <n v="5"/>
    <s v="Unknown"/>
    <s v="Unknown"/>
    <s v="Line Transect"/>
    <n v="27.6921"/>
    <n v="85.3215"/>
    <n v="1498"/>
    <n v="23.8"/>
    <n v="84.9"/>
    <n v="104.1"/>
    <n v="77"/>
    <n v="78.7"/>
    <n v="9.3000000000000007"/>
    <s v="Not available"/>
    <n v="0.48"/>
    <n v="1.92"/>
    <n v="2"/>
    <n v="1"/>
    <s v="No"/>
    <s v="Low"/>
    <n v="1.2"/>
  </r>
  <r>
    <n v="34"/>
    <s v="18/07/2026"/>
    <d v="1899-12-30T07:50:00"/>
    <x v="5"/>
    <x v="1"/>
    <x v="1"/>
    <x v="12"/>
    <s v="Insect"/>
    <n v="11"/>
    <s v="Unknown"/>
    <s v="Unknown"/>
    <s v="Sweep Net"/>
    <n v="27.6921"/>
    <n v="85.3215"/>
    <n v="1498"/>
    <n v="23.8"/>
    <n v="84.9"/>
    <n v="104.1"/>
    <n v="77"/>
    <n v="78.7"/>
    <n v="9.3000000000000007"/>
    <s v="Not available"/>
    <n v="0.48"/>
    <n v="1.92"/>
    <n v="2"/>
    <n v="1"/>
    <s v="No"/>
    <s v="Low"/>
    <n v="1.2"/>
  </r>
  <r>
    <n v="35"/>
    <s v="19/07/2026"/>
    <d v="1899-12-30T13:13:00"/>
    <x v="5"/>
    <x v="1"/>
    <x v="1"/>
    <x v="4"/>
    <s v="Butterfly"/>
    <n v="3"/>
    <s v="Unknown"/>
    <s v="Unknown"/>
    <s v="Line Transect"/>
    <n v="27.6921"/>
    <n v="85.3215"/>
    <n v="1498"/>
    <n v="23.8"/>
    <n v="84.9"/>
    <n v="104.1"/>
    <n v="77"/>
    <n v="78.7"/>
    <n v="9.3000000000000007"/>
    <s v="Not available"/>
    <n v="0.48"/>
    <n v="1.92"/>
    <n v="2"/>
    <n v="1"/>
    <s v="No"/>
    <s v="Low"/>
    <n v="1.2"/>
  </r>
  <r>
    <n v="36"/>
    <s v="20/04/2026"/>
    <d v="1899-12-30T13:22:00"/>
    <x v="5"/>
    <x v="1"/>
    <x v="0"/>
    <x v="12"/>
    <s v="Insect"/>
    <n v="4"/>
    <s v="Unknown"/>
    <s v="Unknown"/>
    <s v="Sweep Net"/>
    <n v="27.6921"/>
    <n v="85.3215"/>
    <n v="1498"/>
    <n v="21"/>
    <n v="77.599999999999994"/>
    <n v="54.6"/>
    <n v="75.5"/>
    <n v="68.7"/>
    <n v="7.7"/>
    <s v="Not available"/>
    <n v="0.77"/>
    <n v="1.97"/>
    <n v="5"/>
    <n v="2"/>
    <s v="No"/>
    <s v="None"/>
    <n v="2.4"/>
  </r>
  <r>
    <n v="37"/>
    <s v="18/10/2026"/>
    <d v="1899-12-30T07:09:00"/>
    <x v="6"/>
    <x v="2"/>
    <x v="2"/>
    <x v="10"/>
    <s v="Lizard"/>
    <n v="1"/>
    <s v="Male"/>
    <s v="Unknown"/>
    <s v="Visual Encounter"/>
    <n v="27.7242"/>
    <n v="85.351500000000001"/>
    <n v="1288"/>
    <n v="21.3"/>
    <n v="74.400000000000006"/>
    <n v="58.5"/>
    <n v="33.299999999999997"/>
    <n v="20.7"/>
    <n v="3.9"/>
    <s v="Not available"/>
    <n v="0.11"/>
    <n v="0.11"/>
    <n v="8"/>
    <n v="1"/>
    <s v="No"/>
    <s v="Moderate"/>
    <n v="7.6"/>
  </r>
  <r>
    <n v="38"/>
    <s v="20/04/2026"/>
    <d v="1899-12-30T12:31:00"/>
    <x v="6"/>
    <x v="2"/>
    <x v="0"/>
    <x v="16"/>
    <s v="Bird"/>
    <n v="3"/>
    <s v="Male"/>
    <s v="Adult"/>
    <s v="Point Count"/>
    <n v="27.7242"/>
    <n v="85.351500000000001"/>
    <n v="1288"/>
    <n v="21.3"/>
    <n v="61.2"/>
    <n v="39.9"/>
    <n v="26.4"/>
    <n v="11.1"/>
    <n v="5.4"/>
    <s v="Not available"/>
    <n v="0.09"/>
    <n v="0.5"/>
    <n v="8"/>
    <n v="0"/>
    <s v="No"/>
    <s v="Moderate"/>
    <n v="8.6999999999999993"/>
  </r>
  <r>
    <n v="39"/>
    <s v="20/07/2026"/>
    <d v="1899-12-30T13:34:00"/>
    <x v="6"/>
    <x v="2"/>
    <x v="1"/>
    <x v="0"/>
    <s v="Insect"/>
    <n v="2"/>
    <s v="Unknown"/>
    <s v="Unknown"/>
    <s v="Sweep Net"/>
    <n v="27.7242"/>
    <n v="85.351500000000001"/>
    <n v="1288"/>
    <n v="25.5"/>
    <n v="75.7"/>
    <n v="92.7"/>
    <n v="31.9"/>
    <n v="14.2"/>
    <n v="5.8"/>
    <s v="Not available"/>
    <n v="0.04"/>
    <n v="0.39"/>
    <n v="7"/>
    <n v="4"/>
    <s v="Yes"/>
    <s v="Moderate"/>
    <n v="7.8"/>
  </r>
  <r>
    <n v="40"/>
    <d v="2026-11-10T00:00:00"/>
    <d v="1899-12-30T10:07:00"/>
    <x v="7"/>
    <x v="2"/>
    <x v="2"/>
    <x v="15"/>
    <s v="Butterfly"/>
    <n v="2"/>
    <s v="Unknown"/>
    <s v="Unknown"/>
    <s v="Line Transect"/>
    <n v="27.731100000000001"/>
    <n v="85.365899999999996"/>
    <n v="1275"/>
    <n v="21.5"/>
    <n v="77.599999999999994"/>
    <n v="21.4"/>
    <n v="33.5"/>
    <n v="18.399999999999999"/>
    <n v="4"/>
    <s v="Available"/>
    <n v="0.03"/>
    <n v="0.17"/>
    <n v="6"/>
    <n v="1"/>
    <s v="Yes"/>
    <s v="None"/>
    <n v="8.1999999999999993"/>
  </r>
  <r>
    <n v="41"/>
    <s v="14/01/2027"/>
    <d v="1899-12-30T07:05:00"/>
    <x v="7"/>
    <x v="2"/>
    <x v="3"/>
    <x v="1"/>
    <s v="Bird"/>
    <n v="1"/>
    <s v="Male"/>
    <s v="Adult"/>
    <s v="Point Count"/>
    <n v="27.731100000000001"/>
    <n v="85.365899999999996"/>
    <n v="1275"/>
    <n v="15.8"/>
    <n v="50.8"/>
    <n v="8"/>
    <n v="26.4"/>
    <n v="19.899999999999999"/>
    <n v="4.4000000000000004"/>
    <s v="Available"/>
    <n v="0.12"/>
    <n v="0.25"/>
    <n v="5"/>
    <n v="4"/>
    <s v="No"/>
    <s v="Moderate"/>
    <n v="7.1"/>
  </r>
  <r>
    <n v="42"/>
    <s v="14/07/2026"/>
    <d v="1899-12-30T10:37:00"/>
    <x v="7"/>
    <x v="2"/>
    <x v="1"/>
    <x v="7"/>
    <s v="Frog"/>
    <n v="2"/>
    <s v="Male"/>
    <s v="Adult"/>
    <s v="Visual Encounter"/>
    <n v="27.731100000000001"/>
    <n v="85.365899999999996"/>
    <n v="1275"/>
    <n v="25.4"/>
    <n v="81.8"/>
    <n v="103.7"/>
    <n v="30.1"/>
    <n v="21.2"/>
    <n v="4.0999999999999996"/>
    <s v="Not available"/>
    <n v="0.08"/>
    <n v="0.18"/>
    <n v="10"/>
    <n v="1"/>
    <s v="No"/>
    <s v="None"/>
    <n v="8.1"/>
  </r>
  <r>
    <n v="43"/>
    <s v="15/10/2026"/>
    <d v="1899-12-30T08:54:00"/>
    <x v="8"/>
    <x v="2"/>
    <x v="2"/>
    <x v="17"/>
    <s v="Small Mammal"/>
    <n v="5"/>
    <s v="Female"/>
    <s v="Adult"/>
    <s v="Camera Trap"/>
    <n v="27.718699999999998"/>
    <n v="85.379099999999994"/>
    <n v="1304"/>
    <n v="21.9"/>
    <n v="68.8"/>
    <n v="39.799999999999997"/>
    <n v="32.1"/>
    <n v="18.5"/>
    <n v="4.5"/>
    <s v="Available"/>
    <n v="0.23"/>
    <n v="0.27"/>
    <n v="6"/>
    <n v="3"/>
    <s v="No"/>
    <s v="Moderate"/>
    <n v="7.6"/>
  </r>
  <r>
    <n v="44"/>
    <s v="16/10/2026"/>
    <d v="1899-12-30T13:34:00"/>
    <x v="8"/>
    <x v="2"/>
    <x v="2"/>
    <x v="11"/>
    <s v="Bird"/>
    <n v="4"/>
    <s v="Male"/>
    <s v="Adult"/>
    <s v="Point Count"/>
    <n v="27.718699999999998"/>
    <n v="85.379099999999994"/>
    <n v="1304"/>
    <n v="21.9"/>
    <n v="68.8"/>
    <n v="39.799999999999997"/>
    <n v="32.1"/>
    <n v="18.5"/>
    <n v="4.5"/>
    <s v="Available"/>
    <n v="0.23"/>
    <n v="0.27"/>
    <n v="6"/>
    <n v="3"/>
    <s v="No"/>
    <s v="Moderate"/>
    <n v="7.6"/>
  </r>
  <r>
    <n v="45"/>
    <s v="20/07/2026"/>
    <d v="1899-12-30T13:32:00"/>
    <x v="8"/>
    <x v="2"/>
    <x v="1"/>
    <x v="14"/>
    <s v="Lizard"/>
    <n v="1"/>
    <s v="Female"/>
    <s v="Adult"/>
    <s v="Visual Encounter"/>
    <n v="27.718699999999998"/>
    <n v="85.379099999999994"/>
    <n v="1304"/>
    <n v="24.4"/>
    <n v="72"/>
    <n v="82.5"/>
    <n v="27.8"/>
    <n v="18.7"/>
    <n v="5.6"/>
    <s v="Available"/>
    <n v="0.06"/>
    <n v="0.18"/>
    <n v="7"/>
    <n v="3"/>
    <s v="No"/>
    <s v="Low"/>
    <n v="7.2"/>
  </r>
  <r>
    <n v="46"/>
    <s v="14/04/2026"/>
    <d v="1899-12-30T17:07:00"/>
    <x v="9"/>
    <x v="3"/>
    <x v="0"/>
    <x v="11"/>
    <s v="Bird"/>
    <n v="5"/>
    <s v="Unknown"/>
    <s v="Unknown"/>
    <s v="Point Count"/>
    <n v="27.7014"/>
    <n v="85.361000000000004"/>
    <n v="1315"/>
    <n v="19.8"/>
    <n v="74.900000000000006"/>
    <n v="59.9"/>
    <n v="56.2"/>
    <n v="42.8"/>
    <n v="7.7"/>
    <s v="Available"/>
    <n v="0.38"/>
    <n v="1.34"/>
    <n v="5"/>
    <n v="0"/>
    <s v="No"/>
    <s v="Low"/>
    <n v="3.1"/>
  </r>
  <r>
    <n v="47"/>
    <s v="16/07/2026"/>
    <d v="1899-12-30T17:23:00"/>
    <x v="9"/>
    <x v="3"/>
    <x v="1"/>
    <x v="15"/>
    <s v="Butterfly"/>
    <n v="6"/>
    <s v="Unknown"/>
    <s v="Unknown"/>
    <s v="Line Transect"/>
    <n v="27.7014"/>
    <n v="85.361000000000004"/>
    <n v="1315"/>
    <n v="24.7"/>
    <n v="75"/>
    <n v="98.9"/>
    <n v="63.5"/>
    <n v="37.299999999999997"/>
    <n v="6"/>
    <s v="Available"/>
    <n v="0.47"/>
    <n v="1.25"/>
    <n v="7"/>
    <n v="0"/>
    <s v="No"/>
    <s v="Low"/>
    <n v="3.3"/>
  </r>
  <r>
    <n v="48"/>
    <d v="2026-10-07T00:00:00"/>
    <d v="1899-12-30T09:05:00"/>
    <x v="10"/>
    <x v="3"/>
    <x v="1"/>
    <x v="10"/>
    <s v="Lizard"/>
    <n v="1"/>
    <s v="Female"/>
    <s v="Adult"/>
    <s v="Visual Encounter"/>
    <n v="27.708200000000001"/>
    <n v="85.369399999999999"/>
    <n v="1298"/>
    <n v="26.2"/>
    <n v="77.8"/>
    <n v="88.1"/>
    <n v="58.1"/>
    <n v="44.5"/>
    <n v="7.2"/>
    <s v="Available"/>
    <n v="0.31"/>
    <n v="1.43"/>
    <n v="4"/>
    <n v="2"/>
    <s v="No"/>
    <s v="Moderate"/>
    <n v="4"/>
  </r>
  <r>
    <n v="49"/>
    <d v="2026-11-04T00:00:00"/>
    <d v="1899-12-30T09:51:00"/>
    <x v="10"/>
    <x v="3"/>
    <x v="0"/>
    <x v="4"/>
    <s v="Butterfly"/>
    <n v="1"/>
    <s v="Unknown"/>
    <s v="Unknown"/>
    <s v="Line Transect"/>
    <n v="27.708200000000001"/>
    <n v="85.369399999999999"/>
    <n v="1298"/>
    <n v="20.7"/>
    <n v="61.6"/>
    <n v="45.9"/>
    <n v="60.5"/>
    <n v="38.700000000000003"/>
    <n v="8.8000000000000007"/>
    <s v="Available"/>
    <n v="0.56000000000000005"/>
    <n v="1.18"/>
    <n v="4"/>
    <n v="0"/>
    <s v="No"/>
    <s v="Low"/>
    <n v="3.7"/>
  </r>
  <r>
    <n v="50"/>
    <s v="14/04/2026"/>
    <d v="1899-12-30T10:16:00"/>
    <x v="10"/>
    <x v="3"/>
    <x v="0"/>
    <x v="3"/>
    <s v="Butterfly"/>
    <n v="5"/>
    <s v="Unknown"/>
    <s v="Unknown"/>
    <s v="Line Transect"/>
    <n v="27.708200000000001"/>
    <n v="85.369399999999999"/>
    <n v="1298"/>
    <n v="20.7"/>
    <n v="61.6"/>
    <n v="45.9"/>
    <n v="60.5"/>
    <n v="38.700000000000003"/>
    <n v="8.8000000000000007"/>
    <s v="Available"/>
    <n v="0.56000000000000005"/>
    <n v="1.18"/>
    <n v="4"/>
    <n v="0"/>
    <s v="No"/>
    <s v="Low"/>
    <n v="3.7"/>
  </r>
  <r>
    <n v="51"/>
    <s v="14/07/2026"/>
    <d v="1899-12-30T09:00:00"/>
    <x v="10"/>
    <x v="3"/>
    <x v="1"/>
    <x v="8"/>
    <s v="Frog"/>
    <n v="2"/>
    <s v="Unknown"/>
    <s v="Adult"/>
    <s v="Visual Encounter"/>
    <n v="27.708200000000001"/>
    <n v="85.369399999999999"/>
    <n v="1298"/>
    <n v="26.2"/>
    <n v="77.8"/>
    <n v="88.1"/>
    <n v="58.1"/>
    <n v="44.5"/>
    <n v="7.2"/>
    <s v="Available"/>
    <n v="0.31"/>
    <n v="1.43"/>
    <n v="4"/>
    <n v="2"/>
    <s v="No"/>
    <s v="Moderate"/>
    <n v="4"/>
  </r>
  <r>
    <n v="52"/>
    <s v="19/07/2026"/>
    <d v="1899-12-30T06:32:00"/>
    <x v="10"/>
    <x v="3"/>
    <x v="1"/>
    <x v="5"/>
    <s v="Bird"/>
    <n v="6"/>
    <s v="Unknown"/>
    <s v="Adult"/>
    <s v="Point Count"/>
    <n v="27.708200000000001"/>
    <n v="85.369399999999999"/>
    <n v="1298"/>
    <n v="26.2"/>
    <n v="77.8"/>
    <n v="88.1"/>
    <n v="58.1"/>
    <n v="44.5"/>
    <n v="7.2"/>
    <s v="Available"/>
    <n v="0.31"/>
    <n v="1.43"/>
    <n v="4"/>
    <n v="2"/>
    <s v="No"/>
    <s v="Moderate"/>
    <n v="4"/>
  </r>
  <r>
    <n v="53"/>
    <d v="2026-10-07T00:00:00"/>
    <d v="1899-12-30T06:34:00"/>
    <x v="11"/>
    <x v="3"/>
    <x v="1"/>
    <x v="13"/>
    <s v="Frog"/>
    <n v="2"/>
    <s v="Male"/>
    <s v="Adult"/>
    <s v="Visual Encounter"/>
    <n v="27.695699999999999"/>
    <n v="85.374799999999993"/>
    <n v="1332"/>
    <n v="25.4"/>
    <n v="72.2"/>
    <n v="110.9"/>
    <n v="69.599999999999994"/>
    <n v="41.2"/>
    <n v="6.7"/>
    <s v="Available"/>
    <n v="0.46"/>
    <n v="1.1100000000000001"/>
    <n v="3"/>
    <n v="4"/>
    <s v="No"/>
    <s v="None"/>
    <n v="3.4"/>
  </r>
  <r>
    <n v="54"/>
    <d v="2026-11-07T00:00:00"/>
    <d v="1899-12-30T15:49:00"/>
    <x v="11"/>
    <x v="3"/>
    <x v="1"/>
    <x v="8"/>
    <s v="Frog"/>
    <n v="3"/>
    <s v="Female"/>
    <s v="Unknown"/>
    <s v="Visual Encounter"/>
    <n v="27.695699999999999"/>
    <n v="85.374799999999993"/>
    <n v="1332"/>
    <n v="25.4"/>
    <n v="72.2"/>
    <n v="110.9"/>
    <n v="69.599999999999994"/>
    <n v="41.2"/>
    <n v="6.7"/>
    <s v="Available"/>
    <n v="0.46"/>
    <n v="1.1100000000000001"/>
    <n v="3"/>
    <n v="4"/>
    <s v="No"/>
    <s v="None"/>
    <n v="3.4"/>
  </r>
  <r>
    <n v="55"/>
    <s v="14/04/2026"/>
    <d v="1899-12-30T09:24:00"/>
    <x v="11"/>
    <x v="3"/>
    <x v="0"/>
    <x v="7"/>
    <s v="Frog"/>
    <n v="3"/>
    <s v="Male"/>
    <s v="Adult"/>
    <s v="Visual Encounter"/>
    <n v="27.695699999999999"/>
    <n v="85.374799999999993"/>
    <n v="1332"/>
    <n v="20.2"/>
    <n v="69.7"/>
    <n v="46.7"/>
    <n v="57.6"/>
    <n v="44.3"/>
    <n v="5.8"/>
    <s v="Available"/>
    <n v="0.35"/>
    <n v="1.38"/>
    <n v="4"/>
    <n v="2"/>
    <s v="No"/>
    <s v="Low"/>
    <n v="4"/>
  </r>
  <r>
    <n v="56"/>
    <s v="14/07/2026"/>
    <d v="1899-12-30T17:04:00"/>
    <x v="11"/>
    <x v="3"/>
    <x v="1"/>
    <x v="7"/>
    <s v="Frog"/>
    <n v="4"/>
    <s v="Female"/>
    <s v="Adult"/>
    <s v="Visual Encounter"/>
    <n v="27.695699999999999"/>
    <n v="85.374799999999993"/>
    <n v="1332"/>
    <n v="25.4"/>
    <n v="72.2"/>
    <n v="110.9"/>
    <n v="69.599999999999994"/>
    <n v="41.2"/>
    <n v="6.7"/>
    <s v="Available"/>
    <n v="0.46"/>
    <n v="1.1100000000000001"/>
    <n v="3"/>
    <n v="4"/>
    <s v="No"/>
    <s v="None"/>
    <n v="3.4"/>
  </r>
  <r>
    <n v="57"/>
    <s v="15/10/2026"/>
    <d v="1899-12-30T17:50:00"/>
    <x v="11"/>
    <x v="3"/>
    <x v="2"/>
    <x v="17"/>
    <s v="Small Mammal"/>
    <n v="1"/>
    <s v="Female"/>
    <s v="Adult"/>
    <s v="Camera Trap"/>
    <n v="27.695699999999999"/>
    <n v="85.374799999999993"/>
    <n v="1332"/>
    <n v="19.7"/>
    <n v="72.8"/>
    <n v="59.2"/>
    <n v="58.7"/>
    <n v="35.6"/>
    <n v="4.8"/>
    <s v="Available"/>
    <n v="0.3"/>
    <n v="0.96"/>
    <n v="7"/>
    <n v="2"/>
    <s v="No"/>
    <s v="None"/>
    <n v="4.5999999999999996"/>
  </r>
  <r>
    <n v="58"/>
    <s v="17/04/2026"/>
    <d v="1899-12-30T10:29:00"/>
    <x v="11"/>
    <x v="3"/>
    <x v="0"/>
    <x v="0"/>
    <s v="Insect"/>
    <n v="6"/>
    <s v="Unknown"/>
    <s v="Unknown"/>
    <s v="Sweep Net"/>
    <n v="27.695699999999999"/>
    <n v="85.374799999999993"/>
    <n v="1332"/>
    <n v="20.2"/>
    <n v="69.7"/>
    <n v="46.7"/>
    <n v="57.6"/>
    <n v="44.3"/>
    <n v="5.8"/>
    <s v="Available"/>
    <n v="0.35"/>
    <n v="1.38"/>
    <n v="4"/>
    <n v="2"/>
    <s v="No"/>
    <s v="Low"/>
    <n v="4"/>
  </r>
  <r>
    <n v="59"/>
    <s v="18/01/2027"/>
    <d v="1899-12-30T09:35:00"/>
    <x v="11"/>
    <x v="3"/>
    <x v="3"/>
    <x v="10"/>
    <s v="Lizard"/>
    <n v="1"/>
    <s v="Unknown"/>
    <s v="Adult"/>
    <s v="Visual Encounter"/>
    <n v="27.695699999999999"/>
    <n v="85.374799999999993"/>
    <n v="1332"/>
    <n v="15"/>
    <n v="64.2"/>
    <n v="0.7"/>
    <n v="52.5"/>
    <n v="36.5"/>
    <n v="6.2"/>
    <s v="Available"/>
    <n v="0.47"/>
    <n v="1.1399999999999999"/>
    <n v="3"/>
    <n v="1"/>
    <s v="No"/>
    <s v="Low"/>
    <n v="4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0" firstDataRow="1" firstDataCol="1"/>
  <pivotFields count="29">
    <pivotField dataField="1" showAll="0"/>
    <pivotField showAll="0"/>
    <pivotField numFmtId="20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bservation_ID" fld="0" subtotal="count" baseField="4" baseItem="0"/>
    <dataField name="Sum of Number_of_Individuals" fld="8" baseField="0" baseItem="0"/>
    <dataField name="Average of Number_of_Individuals2" fld="8" subtotal="average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T25" firstHeaderRow="1" firstDataRow="2" firstDataCol="1"/>
  <pivotFields count="29">
    <pivotField dataField="1" showAll="0"/>
    <pivotField showAll="0"/>
    <pivotField numFmtId="20"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19">
        <item x="5"/>
        <item x="12"/>
        <item x="10"/>
        <item x="3"/>
        <item x="16"/>
        <item x="11"/>
        <item x="4"/>
        <item x="13"/>
        <item x="7"/>
        <item x="8"/>
        <item x="0"/>
        <item x="14"/>
        <item x="6"/>
        <item x="15"/>
        <item x="9"/>
        <item x="1"/>
        <item x="1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ount of Observation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T17" firstHeaderRow="1" firstDataRow="2" firstDataCol="1"/>
  <pivotFields count="29">
    <pivotField dataField="1" showAll="0"/>
    <pivotField showAll="0"/>
    <pivotField numFmtId="20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9">
        <item x="5"/>
        <item x="12"/>
        <item x="10"/>
        <item x="3"/>
        <item x="16"/>
        <item x="11"/>
        <item x="4"/>
        <item x="13"/>
        <item x="7"/>
        <item x="8"/>
        <item x="0"/>
        <item x="14"/>
        <item x="6"/>
        <item x="15"/>
        <item x="9"/>
        <item x="1"/>
        <item x="1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ount of Observation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2" firstHeaderRow="1" firstDataRow="1" firstDataCol="1"/>
  <pivotFields count="29">
    <pivotField showAll="0"/>
    <pivotField showAll="0"/>
    <pivotField numFmtId="20" showAll="0"/>
    <pivotField showAll="0"/>
    <pivotField showAll="0"/>
    <pivotField showAll="0"/>
    <pivotField axis="axisRow" showAll="0">
      <items count="19">
        <item x="5"/>
        <item x="12"/>
        <item x="10"/>
        <item x="3"/>
        <item x="16"/>
        <item x="11"/>
        <item x="4"/>
        <item x="13"/>
        <item x="7"/>
        <item x="8"/>
        <item x="0"/>
        <item x="14"/>
        <item x="6"/>
        <item x="15"/>
        <item x="9"/>
        <item x="1"/>
        <item x="17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Number_of_Individual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T9" firstHeaderRow="1" firstDataRow="2" firstDataCol="1"/>
  <pivotFields count="29">
    <pivotField showAll="0"/>
    <pivotField showAll="0"/>
    <pivotField numFmtId="20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9">
        <item x="5"/>
        <item x="12"/>
        <item x="10"/>
        <item x="3"/>
        <item x="16"/>
        <item x="11"/>
        <item x="4"/>
        <item x="13"/>
        <item x="7"/>
        <item x="8"/>
        <item x="0"/>
        <item x="14"/>
        <item x="6"/>
        <item x="15"/>
        <item x="9"/>
        <item x="1"/>
        <item x="17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Number_of_Individual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T28" firstHeaderRow="1" firstDataRow="2" firstDataCol="1"/>
  <pivotFields count="29">
    <pivotField showAll="0"/>
    <pivotField showAll="0"/>
    <pivotField numFmtId="20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9">
        <item x="5"/>
        <item x="12"/>
        <item x="10"/>
        <item x="3"/>
        <item x="16"/>
        <item x="11"/>
        <item x="4"/>
        <item x="13"/>
        <item x="7"/>
        <item x="8"/>
        <item x="0"/>
        <item x="14"/>
        <item x="6"/>
        <item x="15"/>
        <item x="9"/>
        <item x="1"/>
        <item x="17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Number_of_Individual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T17" firstHeaderRow="1" firstDataRow="2" firstDataCol="1"/>
  <pivotFields count="29">
    <pivotField showAll="0"/>
    <pivotField showAll="0"/>
    <pivotField numFmtId="20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Col" dataField="1" showAll="0">
      <items count="19">
        <item x="5"/>
        <item x="12"/>
        <item x="10"/>
        <item x="3"/>
        <item x="16"/>
        <item x="11"/>
        <item x="4"/>
        <item x="13"/>
        <item x="7"/>
        <item x="8"/>
        <item x="0"/>
        <item x="14"/>
        <item x="6"/>
        <item x="15"/>
        <item x="9"/>
        <item x="1"/>
        <item x="1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ount of Species_Nam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25"/>
  <sheetViews>
    <sheetView topLeftCell="K6" workbookViewId="0">
      <selection activeCell="U26" sqref="U26"/>
    </sheetView>
  </sheetViews>
  <sheetFormatPr defaultRowHeight="15" x14ac:dyDescent="0.25"/>
  <cols>
    <col min="1" max="1" width="23.140625" bestFit="1" customWidth="1"/>
    <col min="2" max="2" width="18.140625" customWidth="1"/>
    <col min="3" max="3" width="11.140625" customWidth="1"/>
    <col min="4" max="4" width="16.85546875" customWidth="1"/>
    <col min="5" max="5" width="17.7109375" customWidth="1"/>
    <col min="6" max="6" width="13.140625" customWidth="1"/>
    <col min="7" max="7" width="17.7109375" customWidth="1"/>
    <col min="8" max="8" width="17.5703125" customWidth="1"/>
    <col min="9" max="9" width="26.42578125" customWidth="1"/>
    <col min="10" max="10" width="22.85546875" customWidth="1"/>
    <col min="11" max="11" width="21.42578125" customWidth="1"/>
    <col min="12" max="12" width="18.7109375" customWidth="1"/>
    <col min="13" max="13" width="21.140625" customWidth="1"/>
    <col min="14" max="14" width="14.85546875" customWidth="1"/>
    <col min="15" max="15" width="16.5703125" customWidth="1"/>
    <col min="16" max="16" width="17.5703125" customWidth="1"/>
    <col min="17" max="17" width="16.28515625" customWidth="1"/>
    <col min="18" max="18" width="12.140625" customWidth="1"/>
    <col min="19" max="19" width="14.28515625" customWidth="1"/>
    <col min="20" max="20" width="11.28515625" bestFit="1" customWidth="1"/>
  </cols>
  <sheetData>
    <row r="3" spans="1:21" x14ac:dyDescent="0.25">
      <c r="A3" s="3" t="s">
        <v>110</v>
      </c>
      <c r="B3" t="s">
        <v>112</v>
      </c>
      <c r="C3" t="s">
        <v>113</v>
      </c>
      <c r="D3" t="s">
        <v>114</v>
      </c>
    </row>
    <row r="4" spans="1:21" x14ac:dyDescent="0.25">
      <c r="A4" s="4" t="s">
        <v>30</v>
      </c>
      <c r="B4" s="5">
        <v>13</v>
      </c>
      <c r="C4" s="5">
        <v>47</v>
      </c>
      <c r="D4" s="5">
        <v>3.6153846153846154</v>
      </c>
    </row>
    <row r="5" spans="1:21" x14ac:dyDescent="0.25">
      <c r="A5" s="4" t="s">
        <v>70</v>
      </c>
      <c r="B5" s="5">
        <v>23</v>
      </c>
      <c r="C5" s="5">
        <v>93</v>
      </c>
      <c r="D5" s="5">
        <v>4.0434782608695654</v>
      </c>
    </row>
    <row r="6" spans="1:21" x14ac:dyDescent="0.25">
      <c r="A6" s="4" t="s">
        <v>96</v>
      </c>
      <c r="B6" s="5">
        <v>9</v>
      </c>
      <c r="C6" s="5">
        <v>21</v>
      </c>
      <c r="D6" s="5">
        <v>2.3333333333333335</v>
      </c>
    </row>
    <row r="7" spans="1:21" x14ac:dyDescent="0.25">
      <c r="A7" s="4" t="s">
        <v>106</v>
      </c>
      <c r="B7" s="5">
        <v>14</v>
      </c>
      <c r="C7" s="5">
        <v>46</v>
      </c>
      <c r="D7" s="5">
        <v>3.2857142857142856</v>
      </c>
    </row>
    <row r="8" spans="1:21" x14ac:dyDescent="0.25">
      <c r="A8" s="4" t="s">
        <v>111</v>
      </c>
      <c r="B8" s="5">
        <v>59</v>
      </c>
      <c r="C8" s="5">
        <v>207</v>
      </c>
      <c r="D8" s="5">
        <v>3.5084745762711864</v>
      </c>
    </row>
    <row r="11" spans="1:21" x14ac:dyDescent="0.25">
      <c r="A11" s="3" t="s">
        <v>112</v>
      </c>
      <c r="B11" s="3" t="s">
        <v>115</v>
      </c>
      <c r="U11" t="s">
        <v>117</v>
      </c>
    </row>
    <row r="12" spans="1:21" x14ac:dyDescent="0.25">
      <c r="A12" s="3" t="s">
        <v>110</v>
      </c>
      <c r="B12" t="s">
        <v>56</v>
      </c>
      <c r="C12" t="s">
        <v>81</v>
      </c>
      <c r="D12" t="s">
        <v>72</v>
      </c>
      <c r="E12" t="s">
        <v>51</v>
      </c>
      <c r="F12" t="s">
        <v>98</v>
      </c>
      <c r="G12" t="s">
        <v>78</v>
      </c>
      <c r="H12" t="s">
        <v>53</v>
      </c>
      <c r="I12" t="s">
        <v>84</v>
      </c>
      <c r="J12" t="s">
        <v>60</v>
      </c>
      <c r="K12" t="s">
        <v>63</v>
      </c>
      <c r="L12" t="s">
        <v>32</v>
      </c>
      <c r="M12" t="s">
        <v>85</v>
      </c>
      <c r="N12" t="s">
        <v>58</v>
      </c>
      <c r="O12" t="s">
        <v>88</v>
      </c>
      <c r="P12" t="s">
        <v>67</v>
      </c>
      <c r="Q12" t="s">
        <v>40</v>
      </c>
      <c r="R12" t="s">
        <v>101</v>
      </c>
      <c r="S12" t="s">
        <v>47</v>
      </c>
      <c r="T12" t="s">
        <v>111</v>
      </c>
      <c r="U12" t="s">
        <v>116</v>
      </c>
    </row>
    <row r="13" spans="1:21" x14ac:dyDescent="0.25">
      <c r="A13" s="4" t="s">
        <v>30</v>
      </c>
      <c r="B13" s="5">
        <v>2</v>
      </c>
      <c r="C13" s="5"/>
      <c r="D13" s="5"/>
      <c r="E13" s="5">
        <v>1</v>
      </c>
      <c r="F13" s="5"/>
      <c r="G13" s="5"/>
      <c r="H13" s="5">
        <v>1</v>
      </c>
      <c r="I13" s="5"/>
      <c r="J13" s="5">
        <v>2</v>
      </c>
      <c r="K13" s="5">
        <v>1</v>
      </c>
      <c r="L13" s="5">
        <v>1</v>
      </c>
      <c r="M13" s="5"/>
      <c r="N13" s="5">
        <v>1</v>
      </c>
      <c r="O13" s="5"/>
      <c r="P13" s="5">
        <v>1</v>
      </c>
      <c r="Q13" s="5">
        <v>2</v>
      </c>
      <c r="R13" s="5"/>
      <c r="S13" s="5">
        <v>1</v>
      </c>
      <c r="T13" s="5">
        <v>13</v>
      </c>
      <c r="U13">
        <f>COUNTIF(B13:S13,"&gt;0")</f>
        <v>10</v>
      </c>
    </row>
    <row r="14" spans="1:21" x14ac:dyDescent="0.25">
      <c r="A14" s="4" t="s">
        <v>70</v>
      </c>
      <c r="B14" s="5"/>
      <c r="C14" s="5">
        <v>4</v>
      </c>
      <c r="D14" s="5">
        <v>1</v>
      </c>
      <c r="E14" s="5"/>
      <c r="F14" s="5"/>
      <c r="G14" s="5">
        <v>3</v>
      </c>
      <c r="H14" s="5">
        <v>2</v>
      </c>
      <c r="I14" s="5">
        <v>1</v>
      </c>
      <c r="J14" s="5"/>
      <c r="K14" s="5">
        <v>1</v>
      </c>
      <c r="L14" s="5"/>
      <c r="M14" s="5">
        <v>1</v>
      </c>
      <c r="N14" s="5">
        <v>2</v>
      </c>
      <c r="O14" s="5">
        <v>2</v>
      </c>
      <c r="P14" s="5">
        <v>3</v>
      </c>
      <c r="Q14" s="5">
        <v>1</v>
      </c>
      <c r="R14" s="5"/>
      <c r="S14" s="5">
        <v>2</v>
      </c>
      <c r="T14" s="5">
        <v>23</v>
      </c>
      <c r="U14">
        <f t="shared" ref="U14:U16" si="0">COUNTIF(B14:S14,"&gt;0")</f>
        <v>12</v>
      </c>
    </row>
    <row r="15" spans="1:21" x14ac:dyDescent="0.25">
      <c r="A15" s="4" t="s">
        <v>96</v>
      </c>
      <c r="B15" s="5"/>
      <c r="C15" s="5"/>
      <c r="D15" s="5">
        <v>1</v>
      </c>
      <c r="E15" s="5"/>
      <c r="F15" s="5">
        <v>1</v>
      </c>
      <c r="G15" s="5">
        <v>1</v>
      </c>
      <c r="H15" s="5"/>
      <c r="I15" s="5"/>
      <c r="J15" s="5">
        <v>1</v>
      </c>
      <c r="K15" s="5"/>
      <c r="L15" s="5">
        <v>1</v>
      </c>
      <c r="M15" s="5">
        <v>1</v>
      </c>
      <c r="N15" s="5"/>
      <c r="O15" s="5">
        <v>1</v>
      </c>
      <c r="P15" s="5"/>
      <c r="Q15" s="5">
        <v>1</v>
      </c>
      <c r="R15" s="5">
        <v>1</v>
      </c>
      <c r="S15" s="5"/>
      <c r="T15" s="5">
        <v>9</v>
      </c>
      <c r="U15">
        <f t="shared" si="0"/>
        <v>9</v>
      </c>
    </row>
    <row r="16" spans="1:21" x14ac:dyDescent="0.25">
      <c r="A16" s="4" t="s">
        <v>106</v>
      </c>
      <c r="B16" s="5">
        <v>1</v>
      </c>
      <c r="C16" s="5"/>
      <c r="D16" s="5">
        <v>2</v>
      </c>
      <c r="E16" s="5">
        <v>1</v>
      </c>
      <c r="F16" s="5"/>
      <c r="G16" s="5">
        <v>1</v>
      </c>
      <c r="H16" s="5">
        <v>1</v>
      </c>
      <c r="I16" s="5">
        <v>1</v>
      </c>
      <c r="J16" s="5">
        <v>2</v>
      </c>
      <c r="K16" s="5">
        <v>2</v>
      </c>
      <c r="L16" s="5">
        <v>1</v>
      </c>
      <c r="M16" s="5"/>
      <c r="N16" s="5"/>
      <c r="O16" s="5">
        <v>1</v>
      </c>
      <c r="P16" s="5"/>
      <c r="Q16" s="5"/>
      <c r="R16" s="5">
        <v>1</v>
      </c>
      <c r="S16" s="5"/>
      <c r="T16" s="5">
        <v>14</v>
      </c>
      <c r="U16">
        <f t="shared" si="0"/>
        <v>11</v>
      </c>
    </row>
    <row r="17" spans="1:21" x14ac:dyDescent="0.25">
      <c r="A17" s="4" t="s">
        <v>111</v>
      </c>
      <c r="B17" s="5">
        <v>3</v>
      </c>
      <c r="C17" s="5">
        <v>4</v>
      </c>
      <c r="D17" s="5">
        <v>4</v>
      </c>
      <c r="E17" s="5">
        <v>2</v>
      </c>
      <c r="F17" s="5">
        <v>1</v>
      </c>
      <c r="G17" s="5">
        <v>5</v>
      </c>
      <c r="H17" s="5">
        <v>4</v>
      </c>
      <c r="I17" s="5">
        <v>2</v>
      </c>
      <c r="J17" s="5">
        <v>5</v>
      </c>
      <c r="K17" s="5">
        <v>4</v>
      </c>
      <c r="L17" s="5">
        <v>3</v>
      </c>
      <c r="M17" s="5">
        <v>2</v>
      </c>
      <c r="N17" s="5">
        <v>3</v>
      </c>
      <c r="O17" s="5">
        <v>4</v>
      </c>
      <c r="P17" s="5">
        <v>4</v>
      </c>
      <c r="Q17" s="5">
        <v>4</v>
      </c>
      <c r="R17" s="5">
        <v>2</v>
      </c>
      <c r="S17" s="5">
        <v>3</v>
      </c>
      <c r="T17" s="5">
        <v>59</v>
      </c>
    </row>
    <row r="19" spans="1:21" x14ac:dyDescent="0.25">
      <c r="A19" s="3" t="s">
        <v>112</v>
      </c>
      <c r="B19" s="3" t="s">
        <v>115</v>
      </c>
      <c r="U19" t="s">
        <v>5</v>
      </c>
    </row>
    <row r="20" spans="1:21" x14ac:dyDescent="0.25">
      <c r="A20" s="3" t="s">
        <v>110</v>
      </c>
      <c r="B20" t="s">
        <v>56</v>
      </c>
      <c r="C20" t="s">
        <v>81</v>
      </c>
      <c r="D20" t="s">
        <v>72</v>
      </c>
      <c r="E20" t="s">
        <v>51</v>
      </c>
      <c r="F20" t="s">
        <v>98</v>
      </c>
      <c r="G20" t="s">
        <v>78</v>
      </c>
      <c r="H20" t="s">
        <v>53</v>
      </c>
      <c r="I20" t="s">
        <v>84</v>
      </c>
      <c r="J20" t="s">
        <v>60</v>
      </c>
      <c r="K20" t="s">
        <v>63</v>
      </c>
      <c r="L20" t="s">
        <v>32</v>
      </c>
      <c r="M20" t="s">
        <v>85</v>
      </c>
      <c r="N20" t="s">
        <v>58</v>
      </c>
      <c r="O20" t="s">
        <v>88</v>
      </c>
      <c r="P20" t="s">
        <v>67</v>
      </c>
      <c r="Q20" t="s">
        <v>40</v>
      </c>
      <c r="R20" t="s">
        <v>101</v>
      </c>
      <c r="S20" t="s">
        <v>47</v>
      </c>
      <c r="T20" t="s">
        <v>111</v>
      </c>
      <c r="U20" t="s">
        <v>116</v>
      </c>
    </row>
    <row r="21" spans="1:21" x14ac:dyDescent="0.25">
      <c r="A21" s="4" t="s">
        <v>66</v>
      </c>
      <c r="B21" s="5"/>
      <c r="C21" s="5"/>
      <c r="D21" s="5">
        <v>1</v>
      </c>
      <c r="E21" s="5"/>
      <c r="F21" s="5"/>
      <c r="G21" s="5">
        <v>1</v>
      </c>
      <c r="H21" s="5"/>
      <c r="I21" s="5"/>
      <c r="J21" s="5"/>
      <c r="K21" s="5"/>
      <c r="L21" s="5"/>
      <c r="M21" s="5"/>
      <c r="N21" s="5">
        <v>1</v>
      </c>
      <c r="O21" s="5">
        <v>1</v>
      </c>
      <c r="P21" s="5">
        <v>1</v>
      </c>
      <c r="Q21" s="5"/>
      <c r="R21" s="5">
        <v>2</v>
      </c>
      <c r="S21" s="5"/>
      <c r="T21" s="5">
        <v>7</v>
      </c>
      <c r="U21">
        <f>COUNTIF(B21:S21,"&gt;0")</f>
        <v>6</v>
      </c>
    </row>
    <row r="22" spans="1:21" x14ac:dyDescent="0.25">
      <c r="A22" s="4" t="s">
        <v>31</v>
      </c>
      <c r="B22" s="5"/>
      <c r="C22" s="5">
        <v>2</v>
      </c>
      <c r="D22" s="5"/>
      <c r="E22" s="5">
        <v>2</v>
      </c>
      <c r="F22" s="5">
        <v>1</v>
      </c>
      <c r="G22" s="5">
        <v>3</v>
      </c>
      <c r="H22" s="5">
        <v>2</v>
      </c>
      <c r="I22" s="5"/>
      <c r="J22" s="5">
        <v>2</v>
      </c>
      <c r="K22" s="5"/>
      <c r="L22" s="5">
        <v>2</v>
      </c>
      <c r="M22" s="5"/>
      <c r="N22" s="5"/>
      <c r="O22" s="5"/>
      <c r="P22" s="5">
        <v>1</v>
      </c>
      <c r="Q22" s="5"/>
      <c r="R22" s="5"/>
      <c r="S22" s="5">
        <v>1</v>
      </c>
      <c r="T22" s="5">
        <v>16</v>
      </c>
      <c r="U22">
        <f t="shared" ref="U22:U24" si="1">COUNTIF(B22:S22,"&gt;0")</f>
        <v>9</v>
      </c>
    </row>
    <row r="23" spans="1:21" x14ac:dyDescent="0.25">
      <c r="A23" s="4" t="s">
        <v>39</v>
      </c>
      <c r="B23" s="5">
        <v>3</v>
      </c>
      <c r="C23" s="5">
        <v>1</v>
      </c>
      <c r="D23" s="5">
        <v>1</v>
      </c>
      <c r="E23" s="5"/>
      <c r="F23" s="5"/>
      <c r="G23" s="5">
        <v>1</v>
      </c>
      <c r="H23" s="5">
        <v>2</v>
      </c>
      <c r="I23" s="5">
        <v>1</v>
      </c>
      <c r="J23" s="5">
        <v>3</v>
      </c>
      <c r="K23" s="5">
        <v>4</v>
      </c>
      <c r="L23" s="5">
        <v>1</v>
      </c>
      <c r="M23" s="5">
        <v>2</v>
      </c>
      <c r="N23" s="5">
        <v>1</v>
      </c>
      <c r="O23" s="5">
        <v>3</v>
      </c>
      <c r="P23" s="5"/>
      <c r="Q23" s="5">
        <v>2</v>
      </c>
      <c r="R23" s="5"/>
      <c r="S23" s="5">
        <v>1</v>
      </c>
      <c r="T23" s="5">
        <v>26</v>
      </c>
      <c r="U23">
        <f t="shared" si="1"/>
        <v>14</v>
      </c>
    </row>
    <row r="24" spans="1:21" x14ac:dyDescent="0.25">
      <c r="A24" s="4" t="s">
        <v>71</v>
      </c>
      <c r="B24" s="5"/>
      <c r="C24" s="5">
        <v>1</v>
      </c>
      <c r="D24" s="5">
        <v>2</v>
      </c>
      <c r="E24" s="5"/>
      <c r="F24" s="5"/>
      <c r="G24" s="5"/>
      <c r="H24" s="5"/>
      <c r="I24" s="5">
        <v>1</v>
      </c>
      <c r="J24" s="5"/>
      <c r="K24" s="5"/>
      <c r="L24" s="5"/>
      <c r="M24" s="5"/>
      <c r="N24" s="5">
        <v>1</v>
      </c>
      <c r="O24" s="5"/>
      <c r="P24" s="5">
        <v>2</v>
      </c>
      <c r="Q24" s="5">
        <v>2</v>
      </c>
      <c r="R24" s="5"/>
      <c r="S24" s="5">
        <v>1</v>
      </c>
      <c r="T24" s="5">
        <v>10</v>
      </c>
      <c r="U24">
        <f t="shared" si="1"/>
        <v>7</v>
      </c>
    </row>
    <row r="25" spans="1:21" x14ac:dyDescent="0.25">
      <c r="A25" s="4" t="s">
        <v>111</v>
      </c>
      <c r="B25" s="5">
        <v>3</v>
      </c>
      <c r="C25" s="5">
        <v>4</v>
      </c>
      <c r="D25" s="5">
        <v>4</v>
      </c>
      <c r="E25" s="5">
        <v>2</v>
      </c>
      <c r="F25" s="5">
        <v>1</v>
      </c>
      <c r="G25" s="5">
        <v>5</v>
      </c>
      <c r="H25" s="5">
        <v>4</v>
      </c>
      <c r="I25" s="5">
        <v>2</v>
      </c>
      <c r="J25" s="5">
        <v>5</v>
      </c>
      <c r="K25" s="5">
        <v>4</v>
      </c>
      <c r="L25" s="5">
        <v>3</v>
      </c>
      <c r="M25" s="5">
        <v>2</v>
      </c>
      <c r="N25" s="5">
        <v>3</v>
      </c>
      <c r="O25" s="5">
        <v>4</v>
      </c>
      <c r="P25" s="5">
        <v>4</v>
      </c>
      <c r="Q25" s="5">
        <v>4</v>
      </c>
      <c r="R25" s="5">
        <v>2</v>
      </c>
      <c r="S25" s="5">
        <v>3</v>
      </c>
      <c r="T25" s="5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workbookViewId="0">
      <selection activeCell="C4" sqref="C4"/>
    </sheetView>
  </sheetViews>
  <sheetFormatPr defaultRowHeight="15" x14ac:dyDescent="0.25"/>
  <cols>
    <col min="1" max="1" width="26.42578125" bestFit="1" customWidth="1"/>
    <col min="2" max="2" width="29" bestFit="1" customWidth="1"/>
    <col min="3" max="3" width="11" customWidth="1"/>
  </cols>
  <sheetData>
    <row r="3" spans="1:4" x14ac:dyDescent="0.25">
      <c r="A3" s="3" t="s">
        <v>110</v>
      </c>
      <c r="B3" t="s">
        <v>113</v>
      </c>
      <c r="C3" t="s">
        <v>118</v>
      </c>
      <c r="D3" t="s">
        <v>119</v>
      </c>
    </row>
    <row r="4" spans="1:4" x14ac:dyDescent="0.25">
      <c r="A4" s="4" t="s">
        <v>56</v>
      </c>
      <c r="B4" s="5">
        <v>8</v>
      </c>
      <c r="C4">
        <f>B4/SUM(B$4:B$21)</f>
        <v>3.864734299516908E-2</v>
      </c>
      <c r="D4">
        <f>C4*LN(C4)</f>
        <v>-0.12573052180040706</v>
      </c>
    </row>
    <row r="5" spans="1:4" x14ac:dyDescent="0.25">
      <c r="A5" s="4" t="s">
        <v>81</v>
      </c>
      <c r="B5" s="5">
        <v>29</v>
      </c>
      <c r="C5">
        <f t="shared" ref="C5:C21" si="0">B5/SUM(B$4:B$21)</f>
        <v>0.14009661835748793</v>
      </c>
      <c r="D5">
        <f t="shared" ref="D5:D21" si="1">C5*LN(C5)</f>
        <v>-0.27534911079752633</v>
      </c>
    </row>
    <row r="6" spans="1:4" x14ac:dyDescent="0.25">
      <c r="A6" s="4" t="s">
        <v>72</v>
      </c>
      <c r="B6" s="5">
        <v>4</v>
      </c>
      <c r="C6">
        <f t="shared" si="0"/>
        <v>1.932367149758454E-2</v>
      </c>
      <c r="D6">
        <f t="shared" si="1"/>
        <v>-7.6259409316820834E-2</v>
      </c>
    </row>
    <row r="7" spans="1:4" x14ac:dyDescent="0.25">
      <c r="A7" s="4" t="s">
        <v>51</v>
      </c>
      <c r="B7" s="5">
        <v>10</v>
      </c>
      <c r="C7">
        <f t="shared" si="0"/>
        <v>4.8309178743961352E-2</v>
      </c>
      <c r="D7">
        <f t="shared" si="1"/>
        <v>-0.14638327054450836</v>
      </c>
    </row>
    <row r="8" spans="1:4" x14ac:dyDescent="0.25">
      <c r="A8" s="4" t="s">
        <v>98</v>
      </c>
      <c r="B8" s="5">
        <v>3</v>
      </c>
      <c r="C8">
        <f t="shared" si="0"/>
        <v>1.4492753623188406E-2</v>
      </c>
      <c r="D8">
        <f t="shared" si="1"/>
        <v>-6.1363862385467531E-2</v>
      </c>
    </row>
    <row r="9" spans="1:4" x14ac:dyDescent="0.25">
      <c r="A9" s="4" t="s">
        <v>78</v>
      </c>
      <c r="B9" s="5">
        <v>22</v>
      </c>
      <c r="C9">
        <f t="shared" si="0"/>
        <v>0.10628019323671498</v>
      </c>
      <c r="D9">
        <f t="shared" si="1"/>
        <v>-0.23824579457949357</v>
      </c>
    </row>
    <row r="10" spans="1:4" x14ac:dyDescent="0.25">
      <c r="A10" s="4" t="s">
        <v>53</v>
      </c>
      <c r="B10" s="5">
        <v>13</v>
      </c>
      <c r="C10">
        <f t="shared" si="0"/>
        <v>6.280193236714976E-2</v>
      </c>
      <c r="D10">
        <f t="shared" si="1"/>
        <v>-0.17382126891521654</v>
      </c>
    </row>
    <row r="11" spans="1:4" x14ac:dyDescent="0.25">
      <c r="A11" s="4" t="s">
        <v>84</v>
      </c>
      <c r="B11" s="5">
        <v>3</v>
      </c>
      <c r="C11">
        <f t="shared" si="0"/>
        <v>1.4492753623188406E-2</v>
      </c>
      <c r="D11">
        <f t="shared" si="1"/>
        <v>-6.1363862385467531E-2</v>
      </c>
    </row>
    <row r="12" spans="1:4" x14ac:dyDescent="0.25">
      <c r="A12" s="4" t="s">
        <v>60</v>
      </c>
      <c r="B12" s="5">
        <v>16</v>
      </c>
      <c r="C12">
        <f t="shared" si="0"/>
        <v>7.7294685990338161E-2</v>
      </c>
      <c r="D12">
        <f t="shared" si="1"/>
        <v>-0.19788444993434495</v>
      </c>
    </row>
    <row r="13" spans="1:4" x14ac:dyDescent="0.25">
      <c r="A13" s="4" t="s">
        <v>63</v>
      </c>
      <c r="B13" s="5">
        <v>12</v>
      </c>
      <c r="C13">
        <f t="shared" si="0"/>
        <v>5.7971014492753624E-2</v>
      </c>
      <c r="D13">
        <f t="shared" si="1"/>
        <v>-0.16509055904216632</v>
      </c>
    </row>
    <row r="14" spans="1:4" x14ac:dyDescent="0.25">
      <c r="A14" s="4" t="s">
        <v>32</v>
      </c>
      <c r="B14" s="5">
        <v>16</v>
      </c>
      <c r="C14">
        <f t="shared" si="0"/>
        <v>7.7294685990338161E-2</v>
      </c>
      <c r="D14">
        <f t="shared" si="1"/>
        <v>-0.19788444993434495</v>
      </c>
    </row>
    <row r="15" spans="1:4" x14ac:dyDescent="0.25">
      <c r="A15" s="4" t="s">
        <v>85</v>
      </c>
      <c r="B15" s="5">
        <v>4</v>
      </c>
      <c r="C15">
        <f t="shared" si="0"/>
        <v>1.932367149758454E-2</v>
      </c>
      <c r="D15">
        <f t="shared" si="1"/>
        <v>-7.6259409316820834E-2</v>
      </c>
    </row>
    <row r="16" spans="1:4" x14ac:dyDescent="0.25">
      <c r="A16" s="4" t="s">
        <v>58</v>
      </c>
      <c r="B16" s="5">
        <v>10</v>
      </c>
      <c r="C16">
        <f t="shared" si="0"/>
        <v>4.8309178743961352E-2</v>
      </c>
      <c r="D16">
        <f t="shared" si="1"/>
        <v>-0.14638327054450836</v>
      </c>
    </row>
    <row r="17" spans="1:4" x14ac:dyDescent="0.25">
      <c r="A17" s="4" t="s">
        <v>88</v>
      </c>
      <c r="B17" s="5">
        <v>16</v>
      </c>
      <c r="C17">
        <f t="shared" si="0"/>
        <v>7.7294685990338161E-2</v>
      </c>
      <c r="D17">
        <f t="shared" si="1"/>
        <v>-0.19788444993434495</v>
      </c>
    </row>
    <row r="18" spans="1:4" x14ac:dyDescent="0.25">
      <c r="A18" s="4" t="s">
        <v>67</v>
      </c>
      <c r="B18" s="5">
        <v>15</v>
      </c>
      <c r="C18">
        <f t="shared" si="0"/>
        <v>7.2463768115942032E-2</v>
      </c>
      <c r="D18">
        <f t="shared" si="1"/>
        <v>-0.19019337624370719</v>
      </c>
    </row>
    <row r="19" spans="1:4" x14ac:dyDescent="0.25">
      <c r="A19" s="4" t="s">
        <v>40</v>
      </c>
      <c r="B19" s="5">
        <v>12</v>
      </c>
      <c r="C19">
        <f t="shared" si="0"/>
        <v>5.7971014492753624E-2</v>
      </c>
      <c r="D19">
        <f t="shared" si="1"/>
        <v>-0.16509055904216632</v>
      </c>
    </row>
    <row r="20" spans="1:4" x14ac:dyDescent="0.25">
      <c r="A20" s="4" t="s">
        <v>101</v>
      </c>
      <c r="B20" s="5">
        <v>6</v>
      </c>
      <c r="C20">
        <f t="shared" si="0"/>
        <v>2.8985507246376812E-2</v>
      </c>
      <c r="D20">
        <f t="shared" si="1"/>
        <v>-0.10263650214600911</v>
      </c>
    </row>
    <row r="21" spans="1:4" x14ac:dyDescent="0.25">
      <c r="A21" s="4" t="s">
        <v>47</v>
      </c>
      <c r="B21" s="5">
        <v>8</v>
      </c>
      <c r="C21">
        <f t="shared" si="0"/>
        <v>3.864734299516908E-2</v>
      </c>
      <c r="D21">
        <f t="shared" si="1"/>
        <v>-0.12573052180040706</v>
      </c>
    </row>
    <row r="22" spans="1:4" x14ac:dyDescent="0.25">
      <c r="A22" s="4" t="s">
        <v>111</v>
      </c>
      <c r="B22" s="5">
        <v>207</v>
      </c>
      <c r="D22">
        <f>-SUM(D4:D21)</f>
        <v>2.7235546486637281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H28"/>
  <sheetViews>
    <sheetView topLeftCell="AI6" workbookViewId="0">
      <selection activeCell="BF16" sqref="BF16:BH27"/>
    </sheetView>
  </sheetViews>
  <sheetFormatPr defaultRowHeight="15" x14ac:dyDescent="0.25"/>
  <cols>
    <col min="1" max="1" width="29" bestFit="1" customWidth="1"/>
    <col min="2" max="2" width="18.140625" bestFit="1" customWidth="1"/>
    <col min="3" max="3" width="11.140625" bestFit="1" customWidth="1"/>
    <col min="4" max="4" width="16.85546875" bestFit="1" customWidth="1"/>
    <col min="5" max="5" width="17.7109375" bestFit="1" customWidth="1"/>
    <col min="6" max="6" width="13.140625" bestFit="1" customWidth="1"/>
    <col min="7" max="7" width="17.7109375" bestFit="1" customWidth="1"/>
    <col min="8" max="8" width="17.5703125" bestFit="1" customWidth="1"/>
    <col min="9" max="9" width="26.42578125" bestFit="1" customWidth="1"/>
    <col min="10" max="10" width="22.85546875" bestFit="1" customWidth="1"/>
    <col min="11" max="11" width="21.42578125" bestFit="1" customWidth="1"/>
    <col min="12" max="12" width="18.7109375" bestFit="1" customWidth="1"/>
    <col min="13" max="13" width="21.140625" bestFit="1" customWidth="1"/>
    <col min="14" max="14" width="14.85546875" bestFit="1" customWidth="1"/>
    <col min="15" max="15" width="16.5703125" bestFit="1" customWidth="1"/>
    <col min="16" max="16" width="17.5703125" bestFit="1" customWidth="1"/>
    <col min="17" max="17" width="16.28515625" bestFit="1" customWidth="1"/>
    <col min="18" max="18" width="12.140625" bestFit="1" customWidth="1"/>
    <col min="19" max="19" width="14.28515625" bestFit="1" customWidth="1"/>
    <col min="20" max="20" width="11.28515625" bestFit="1" customWidth="1"/>
    <col min="40" max="58" width="6.42578125" customWidth="1"/>
  </cols>
  <sheetData>
    <row r="3" spans="1:60" x14ac:dyDescent="0.25">
      <c r="A3" s="3" t="s">
        <v>113</v>
      </c>
      <c r="B3" s="3" t="s">
        <v>115</v>
      </c>
    </row>
    <row r="4" spans="1:60" x14ac:dyDescent="0.25">
      <c r="A4" s="3" t="s">
        <v>110</v>
      </c>
      <c r="B4" t="s">
        <v>56</v>
      </c>
      <c r="C4" t="s">
        <v>81</v>
      </c>
      <c r="D4" t="s">
        <v>72</v>
      </c>
      <c r="E4" t="s">
        <v>51</v>
      </c>
      <c r="F4" t="s">
        <v>98</v>
      </c>
      <c r="G4" t="s">
        <v>78</v>
      </c>
      <c r="H4" t="s">
        <v>53</v>
      </c>
      <c r="I4" t="s">
        <v>84</v>
      </c>
      <c r="J4" t="s">
        <v>60</v>
      </c>
      <c r="K4" t="s">
        <v>63</v>
      </c>
      <c r="L4" t="s">
        <v>32</v>
      </c>
      <c r="M4" t="s">
        <v>85</v>
      </c>
      <c r="N4" t="s">
        <v>58</v>
      </c>
      <c r="O4" t="s">
        <v>88</v>
      </c>
      <c r="P4" t="s">
        <v>67</v>
      </c>
      <c r="Q4" t="s">
        <v>40</v>
      </c>
      <c r="R4" t="s">
        <v>101</v>
      </c>
      <c r="S4" t="s">
        <v>47</v>
      </c>
      <c r="T4" t="s">
        <v>111</v>
      </c>
    </row>
    <row r="5" spans="1:60" x14ac:dyDescent="0.25">
      <c r="A5" s="4" t="s">
        <v>30</v>
      </c>
      <c r="B5" s="5">
        <v>2</v>
      </c>
      <c r="C5" s="5"/>
      <c r="D5" s="5"/>
      <c r="E5" s="5">
        <v>5</v>
      </c>
      <c r="F5" s="5"/>
      <c r="G5" s="5"/>
      <c r="H5" s="5">
        <v>2</v>
      </c>
      <c r="I5" s="5"/>
      <c r="J5" s="5">
        <v>7</v>
      </c>
      <c r="K5" s="5">
        <v>3</v>
      </c>
      <c r="L5" s="5">
        <v>8</v>
      </c>
      <c r="M5" s="5"/>
      <c r="N5" s="5">
        <v>6</v>
      </c>
      <c r="O5" s="5"/>
      <c r="P5" s="5">
        <v>3</v>
      </c>
      <c r="Q5" s="5">
        <v>10</v>
      </c>
      <c r="R5" s="5"/>
      <c r="S5" s="5">
        <v>1</v>
      </c>
      <c r="T5" s="5">
        <v>47</v>
      </c>
      <c r="U5">
        <f>B5/$T5</f>
        <v>4.2553191489361701E-2</v>
      </c>
      <c r="V5">
        <f t="shared" ref="V5:AL8" si="0">C5/$T5</f>
        <v>0</v>
      </c>
      <c r="W5">
        <f t="shared" si="0"/>
        <v>0</v>
      </c>
      <c r="X5">
        <f t="shared" si="0"/>
        <v>0.10638297872340426</v>
      </c>
      <c r="Y5">
        <f t="shared" si="0"/>
        <v>0</v>
      </c>
      <c r="Z5">
        <f t="shared" si="0"/>
        <v>0</v>
      </c>
      <c r="AA5">
        <f t="shared" si="0"/>
        <v>4.2553191489361701E-2</v>
      </c>
      <c r="AB5">
        <f t="shared" si="0"/>
        <v>0</v>
      </c>
      <c r="AC5">
        <f t="shared" si="0"/>
        <v>0.14893617021276595</v>
      </c>
      <c r="AD5">
        <f t="shared" si="0"/>
        <v>6.3829787234042548E-2</v>
      </c>
      <c r="AE5">
        <f t="shared" si="0"/>
        <v>0.1702127659574468</v>
      </c>
      <c r="AF5">
        <f t="shared" si="0"/>
        <v>0</v>
      </c>
      <c r="AG5">
        <f t="shared" si="0"/>
        <v>0.1276595744680851</v>
      </c>
      <c r="AH5">
        <f t="shared" si="0"/>
        <v>0</v>
      </c>
      <c r="AI5">
        <f t="shared" si="0"/>
        <v>6.3829787234042548E-2</v>
      </c>
      <c r="AJ5">
        <f t="shared" si="0"/>
        <v>0.21276595744680851</v>
      </c>
      <c r="AK5">
        <f t="shared" si="0"/>
        <v>0</v>
      </c>
      <c r="AL5">
        <f t="shared" si="0"/>
        <v>2.1276595744680851E-2</v>
      </c>
      <c r="AN5">
        <f>IF(U5=0,0,U5*LN(U5))</f>
        <v>-0.13434044345319632</v>
      </c>
      <c r="AO5">
        <f t="shared" ref="AO5:AR5" si="1">IF(V5=0,0,V5*LN(V5))</f>
        <v>0</v>
      </c>
      <c r="AP5">
        <f t="shared" si="1"/>
        <v>0</v>
      </c>
      <c r="AQ5">
        <f t="shared" si="1"/>
        <v>-0.23837337119957003</v>
      </c>
      <c r="AR5">
        <f t="shared" si="1"/>
        <v>0</v>
      </c>
      <c r="AS5">
        <f t="shared" ref="AS5" si="2">IF(Z5=0,0,Z5*LN(Z5))</f>
        <v>0</v>
      </c>
      <c r="AT5">
        <f t="shared" ref="AT5" si="3">IF(AA5=0,0,AA5*LN(AA5))</f>
        <v>-0.13434044345319632</v>
      </c>
      <c r="AU5">
        <f t="shared" ref="AU5:AV5" si="4">IF(AB5=0,0,AB5*LN(AB5))</f>
        <v>0</v>
      </c>
      <c r="AV5">
        <f t="shared" si="4"/>
        <v>-0.283609833374111</v>
      </c>
      <c r="AW5">
        <f t="shared" ref="AW5" si="5">IF(AD5=0,0,AD5*LN(AD5))</f>
        <v>-0.17562991359842225</v>
      </c>
      <c r="AX5">
        <f t="shared" ref="AX5" si="6">IF(AE5=0,0,AE5*LN(AE5))</f>
        <v>-0.30139677617535704</v>
      </c>
      <c r="AY5">
        <f t="shared" ref="AY5:AZ5" si="7">IF(AF5=0,0,AF5*LN(AF5))</f>
        <v>0</v>
      </c>
      <c r="AZ5">
        <f t="shared" si="7"/>
        <v>-0.26277295308280896</v>
      </c>
      <c r="BA5">
        <f t="shared" ref="BA5" si="8">IF(AH5=0,0,AH5*LN(AH5))</f>
        <v>0</v>
      </c>
      <c r="BB5">
        <f t="shared" ref="BB5" si="9">IF(AI5=0,0,AI5*LN(AI5))</f>
        <v>-0.17562991359842225</v>
      </c>
      <c r="BC5">
        <f t="shared" ref="BC5:BD5" si="10">IF(AJ5=0,0,AJ5*LN(AJ5))</f>
        <v>-0.32926861887574743</v>
      </c>
      <c r="BD5">
        <f t="shared" si="10"/>
        <v>0</v>
      </c>
      <c r="BE5">
        <f t="shared" ref="BE5" si="11">IF(AL5=0,0,AL5*LN(AL5))</f>
        <v>-8.1918034078937413E-2</v>
      </c>
      <c r="BF5">
        <f>-SUM(AN5:BE5)</f>
        <v>2.1172803008897687</v>
      </c>
    </row>
    <row r="6" spans="1:60" x14ac:dyDescent="0.25">
      <c r="A6" s="4" t="s">
        <v>70</v>
      </c>
      <c r="B6" s="5"/>
      <c r="C6" s="5">
        <v>29</v>
      </c>
      <c r="D6" s="5">
        <v>1</v>
      </c>
      <c r="E6" s="5"/>
      <c r="F6" s="5"/>
      <c r="G6" s="5">
        <v>13</v>
      </c>
      <c r="H6" s="5">
        <v>10</v>
      </c>
      <c r="I6" s="5">
        <v>1</v>
      </c>
      <c r="J6" s="5"/>
      <c r="K6" s="5">
        <v>4</v>
      </c>
      <c r="L6" s="5"/>
      <c r="M6" s="5">
        <v>3</v>
      </c>
      <c r="N6" s="5">
        <v>4</v>
      </c>
      <c r="O6" s="5">
        <v>8</v>
      </c>
      <c r="P6" s="5">
        <v>12</v>
      </c>
      <c r="Q6" s="5">
        <v>1</v>
      </c>
      <c r="R6" s="5"/>
      <c r="S6" s="5">
        <v>7</v>
      </c>
      <c r="T6" s="5">
        <v>93</v>
      </c>
      <c r="U6">
        <f t="shared" ref="U6:U8" si="12">B6/$T6</f>
        <v>0</v>
      </c>
      <c r="V6">
        <f t="shared" si="0"/>
        <v>0.31182795698924731</v>
      </c>
      <c r="W6">
        <f t="shared" si="0"/>
        <v>1.0752688172043012E-2</v>
      </c>
      <c r="X6">
        <f t="shared" si="0"/>
        <v>0</v>
      </c>
      <c r="Y6">
        <f t="shared" si="0"/>
        <v>0</v>
      </c>
      <c r="Z6">
        <f t="shared" si="0"/>
        <v>0.13978494623655913</v>
      </c>
      <c r="AA6">
        <f t="shared" si="0"/>
        <v>0.10752688172043011</v>
      </c>
      <c r="AB6">
        <f t="shared" si="0"/>
        <v>1.0752688172043012E-2</v>
      </c>
      <c r="AC6">
        <f t="shared" si="0"/>
        <v>0</v>
      </c>
      <c r="AD6">
        <f t="shared" si="0"/>
        <v>4.3010752688172046E-2</v>
      </c>
      <c r="AE6">
        <f t="shared" si="0"/>
        <v>0</v>
      </c>
      <c r="AF6">
        <f t="shared" si="0"/>
        <v>3.2258064516129031E-2</v>
      </c>
      <c r="AG6">
        <f t="shared" si="0"/>
        <v>4.3010752688172046E-2</v>
      </c>
      <c r="AH6">
        <f t="shared" si="0"/>
        <v>8.6021505376344093E-2</v>
      </c>
      <c r="AI6">
        <f t="shared" si="0"/>
        <v>0.12903225806451613</v>
      </c>
      <c r="AJ6">
        <f t="shared" si="0"/>
        <v>1.0752688172043012E-2</v>
      </c>
      <c r="AK6">
        <f t="shared" si="0"/>
        <v>0</v>
      </c>
      <c r="AL6">
        <f t="shared" si="0"/>
        <v>7.5268817204301078E-2</v>
      </c>
      <c r="AN6">
        <f t="shared" ref="AN6:AN8" si="13">IF(U6=0,0,U6*LN(U6))</f>
        <v>0</v>
      </c>
      <c r="AO6">
        <f t="shared" ref="AO6:AO8" si="14">IF(V6=0,0,V6*LN(V6))</f>
        <v>-0.36337426055738359</v>
      </c>
      <c r="AP6">
        <f t="shared" ref="AP6:AP8" si="15">IF(W6=0,0,W6*LN(W6))</f>
        <v>-4.8737628958637168E-2</v>
      </c>
      <c r="AQ6">
        <f t="shared" ref="AQ6:AQ8" si="16">IF(X6=0,0,X6*LN(X6))</f>
        <v>0</v>
      </c>
      <c r="AR6">
        <f t="shared" ref="AR6:AR8" si="17">IF(Y6=0,0,Y6*LN(Y6))</f>
        <v>0</v>
      </c>
      <c r="AS6">
        <f t="shared" ref="AS6:AS8" si="18">IF(Z6=0,0,Z6*LN(Z6))</f>
        <v>-0.27504786843002527</v>
      </c>
      <c r="AT6">
        <f t="shared" ref="AT6:AT8" si="19">IF(AA6=0,0,AA6*LN(AA6))</f>
        <v>-0.23978649464077531</v>
      </c>
      <c r="AU6">
        <f t="shared" ref="AU6:AU8" si="20">IF(AB6=0,0,AB6*LN(AB6))</f>
        <v>-4.8737628958637168E-2</v>
      </c>
      <c r="AV6">
        <f t="shared" ref="AV6:AV8" si="21">IF(AC6=0,0,AC6*LN(AC6))</f>
        <v>0</v>
      </c>
      <c r="AW6">
        <f t="shared" ref="AW6:AW8" si="22">IF(AD6=0,0,AD6*LN(AD6))</f>
        <v>-0.13532495191541355</v>
      </c>
      <c r="AX6">
        <f t="shared" ref="AX6:AX8" si="23">IF(AE6=0,0,AE6*LN(AE6))</f>
        <v>0</v>
      </c>
      <c r="AY6">
        <f t="shared" ref="AY6:AY8" si="24">IF(AF6=0,0,AF6*LN(AF6))</f>
        <v>-0.11077378078984343</v>
      </c>
      <c r="AZ6">
        <f t="shared" ref="AZ6:AZ8" si="25">IF(AG6=0,0,AG6*LN(AG6))</f>
        <v>-0.13532495191541355</v>
      </c>
      <c r="BA6">
        <f t="shared" ref="BA6:BA8" si="26">IF(AH6=0,0,AH6*LN(AH6))</f>
        <v>-0.21102433991169206</v>
      </c>
      <c r="BB6">
        <f t="shared" ref="BB6:BB8" si="27">IF(AI6=0,0,AI6*LN(AI6))</f>
        <v>-0.26421843140196843</v>
      </c>
      <c r="BC6">
        <f t="shared" ref="BC6:BC8" si="28">IF(AJ6=0,0,AJ6*LN(AJ6))</f>
        <v>-4.8737628958637168E-2</v>
      </c>
      <c r="BD6">
        <f t="shared" ref="BD6:BD8" si="29">IF(AK6=0,0,AK6*LN(AK6))</f>
        <v>0</v>
      </c>
      <c r="BE6">
        <f t="shared" ref="BE6:BE8" si="30">IF(AL6=0,0,AL6*LN(AL6))</f>
        <v>-0.19469704740522148</v>
      </c>
      <c r="BF6">
        <f t="shared" ref="BF6:BF8" si="31">-SUM(AN6:BE6)</f>
        <v>2.0757850138436482</v>
      </c>
    </row>
    <row r="7" spans="1:60" x14ac:dyDescent="0.25">
      <c r="A7" s="4" t="s">
        <v>96</v>
      </c>
      <c r="B7" s="5"/>
      <c r="C7" s="5"/>
      <c r="D7" s="5">
        <v>1</v>
      </c>
      <c r="E7" s="5"/>
      <c r="F7" s="5">
        <v>3</v>
      </c>
      <c r="G7" s="5">
        <v>4</v>
      </c>
      <c r="H7" s="5"/>
      <c r="I7" s="5"/>
      <c r="J7" s="5">
        <v>2</v>
      </c>
      <c r="K7" s="5"/>
      <c r="L7" s="5">
        <v>2</v>
      </c>
      <c r="M7" s="5">
        <v>1</v>
      </c>
      <c r="N7" s="5"/>
      <c r="O7" s="5">
        <v>2</v>
      </c>
      <c r="P7" s="5"/>
      <c r="Q7" s="5">
        <v>1</v>
      </c>
      <c r="R7" s="5">
        <v>5</v>
      </c>
      <c r="S7" s="5"/>
      <c r="T7" s="5">
        <v>21</v>
      </c>
      <c r="U7">
        <f t="shared" si="12"/>
        <v>0</v>
      </c>
      <c r="V7">
        <f t="shared" si="0"/>
        <v>0</v>
      </c>
      <c r="W7">
        <f t="shared" si="0"/>
        <v>4.7619047619047616E-2</v>
      </c>
      <c r="X7">
        <f t="shared" si="0"/>
        <v>0</v>
      </c>
      <c r="Y7">
        <f t="shared" si="0"/>
        <v>0.14285714285714285</v>
      </c>
      <c r="Z7">
        <f t="shared" si="0"/>
        <v>0.19047619047619047</v>
      </c>
      <c r="AA7">
        <f t="shared" si="0"/>
        <v>0</v>
      </c>
      <c r="AB7">
        <f t="shared" si="0"/>
        <v>0</v>
      </c>
      <c r="AC7">
        <f t="shared" si="0"/>
        <v>9.5238095238095233E-2</v>
      </c>
      <c r="AD7">
        <f t="shared" si="0"/>
        <v>0</v>
      </c>
      <c r="AE7">
        <f t="shared" si="0"/>
        <v>9.5238095238095233E-2</v>
      </c>
      <c r="AF7">
        <f t="shared" si="0"/>
        <v>4.7619047619047616E-2</v>
      </c>
      <c r="AG7">
        <f t="shared" si="0"/>
        <v>0</v>
      </c>
      <c r="AH7">
        <f t="shared" si="0"/>
        <v>9.5238095238095233E-2</v>
      </c>
      <c r="AI7">
        <f t="shared" si="0"/>
        <v>0</v>
      </c>
      <c r="AJ7">
        <f t="shared" si="0"/>
        <v>4.7619047619047616E-2</v>
      </c>
      <c r="AK7">
        <f t="shared" si="0"/>
        <v>0.23809523809523808</v>
      </c>
      <c r="AL7">
        <f t="shared" si="0"/>
        <v>0</v>
      </c>
      <c r="AN7">
        <f t="shared" si="13"/>
        <v>0</v>
      </c>
      <c r="AO7">
        <f t="shared" si="14"/>
        <v>0</v>
      </c>
      <c r="AP7">
        <f t="shared" si="15"/>
        <v>-0.14497725893921062</v>
      </c>
      <c r="AQ7">
        <f t="shared" si="16"/>
        <v>0</v>
      </c>
      <c r="AR7">
        <f t="shared" si="17"/>
        <v>-0.27798716415075903</v>
      </c>
      <c r="AS7">
        <f t="shared" si="18"/>
        <v>-0.31585296697210141</v>
      </c>
      <c r="AT7">
        <f t="shared" si="19"/>
        <v>0</v>
      </c>
      <c r="AU7">
        <f t="shared" si="20"/>
        <v>0</v>
      </c>
      <c r="AV7">
        <f t="shared" si="21"/>
        <v>-0.22394050068223595</v>
      </c>
      <c r="AW7">
        <f t="shared" si="22"/>
        <v>0</v>
      </c>
      <c r="AX7">
        <f t="shared" si="23"/>
        <v>-0.22394050068223595</v>
      </c>
      <c r="AY7">
        <f t="shared" si="24"/>
        <v>-0.14497725893921062</v>
      </c>
      <c r="AZ7">
        <f t="shared" si="25"/>
        <v>0</v>
      </c>
      <c r="BA7">
        <f t="shared" si="26"/>
        <v>-0.22394050068223595</v>
      </c>
      <c r="BB7">
        <f t="shared" si="27"/>
        <v>0</v>
      </c>
      <c r="BC7">
        <f t="shared" si="28"/>
        <v>-0.14497725893921062</v>
      </c>
      <c r="BD7">
        <f t="shared" si="29"/>
        <v>-0.341686791735553</v>
      </c>
      <c r="BE7">
        <f t="shared" si="30"/>
        <v>0</v>
      </c>
      <c r="BF7">
        <f t="shared" si="31"/>
        <v>2.042280201722753</v>
      </c>
    </row>
    <row r="8" spans="1:60" x14ac:dyDescent="0.25">
      <c r="A8" s="4" t="s">
        <v>106</v>
      </c>
      <c r="B8" s="5">
        <v>6</v>
      </c>
      <c r="C8" s="5"/>
      <c r="D8" s="5">
        <v>2</v>
      </c>
      <c r="E8" s="5">
        <v>5</v>
      </c>
      <c r="F8" s="5"/>
      <c r="G8" s="5">
        <v>5</v>
      </c>
      <c r="H8" s="5">
        <v>1</v>
      </c>
      <c r="I8" s="5">
        <v>2</v>
      </c>
      <c r="J8" s="5">
        <v>7</v>
      </c>
      <c r="K8" s="5">
        <v>5</v>
      </c>
      <c r="L8" s="5">
        <v>6</v>
      </c>
      <c r="M8" s="5"/>
      <c r="N8" s="5"/>
      <c r="O8" s="5">
        <v>6</v>
      </c>
      <c r="P8" s="5"/>
      <c r="Q8" s="5"/>
      <c r="R8" s="5">
        <v>1</v>
      </c>
      <c r="S8" s="5"/>
      <c r="T8" s="5">
        <v>46</v>
      </c>
      <c r="U8">
        <f t="shared" si="12"/>
        <v>0.13043478260869565</v>
      </c>
      <c r="V8">
        <f t="shared" si="0"/>
        <v>0</v>
      </c>
      <c r="W8">
        <f t="shared" si="0"/>
        <v>4.3478260869565216E-2</v>
      </c>
      <c r="X8">
        <f t="shared" si="0"/>
        <v>0.10869565217391304</v>
      </c>
      <c r="Y8">
        <f t="shared" si="0"/>
        <v>0</v>
      </c>
      <c r="Z8">
        <f t="shared" si="0"/>
        <v>0.10869565217391304</v>
      </c>
      <c r="AA8">
        <f t="shared" si="0"/>
        <v>2.1739130434782608E-2</v>
      </c>
      <c r="AB8">
        <f t="shared" si="0"/>
        <v>4.3478260869565216E-2</v>
      </c>
      <c r="AC8">
        <f t="shared" si="0"/>
        <v>0.15217391304347827</v>
      </c>
      <c r="AD8">
        <f t="shared" si="0"/>
        <v>0.10869565217391304</v>
      </c>
      <c r="AE8">
        <f t="shared" si="0"/>
        <v>0.13043478260869565</v>
      </c>
      <c r="AF8">
        <f t="shared" si="0"/>
        <v>0</v>
      </c>
      <c r="AG8">
        <f t="shared" si="0"/>
        <v>0</v>
      </c>
      <c r="AH8">
        <f t="shared" si="0"/>
        <v>0.13043478260869565</v>
      </c>
      <c r="AI8">
        <f t="shared" si="0"/>
        <v>0</v>
      </c>
      <c r="AJ8">
        <f t="shared" si="0"/>
        <v>0</v>
      </c>
      <c r="AK8">
        <f t="shared" si="0"/>
        <v>2.1739130434782608E-2</v>
      </c>
      <c r="AL8">
        <f t="shared" si="0"/>
        <v>0</v>
      </c>
      <c r="AN8">
        <f t="shared" si="13"/>
        <v>-0.26568025138187479</v>
      </c>
      <c r="AO8">
        <f t="shared" si="14"/>
        <v>0</v>
      </c>
      <c r="AP8">
        <f t="shared" si="15"/>
        <v>-0.13632583547518043</v>
      </c>
      <c r="AQ8">
        <f t="shared" si="16"/>
        <v>-0.24121777000597766</v>
      </c>
      <c r="AR8">
        <f t="shared" si="17"/>
        <v>0</v>
      </c>
      <c r="AS8">
        <f t="shared" si="18"/>
        <v>-0.24121777000597766</v>
      </c>
      <c r="AT8">
        <f t="shared" si="19"/>
        <v>-8.3231334706284674E-2</v>
      </c>
      <c r="AU8">
        <f t="shared" si="20"/>
        <v>-0.13632583547518043</v>
      </c>
      <c r="AV8">
        <f t="shared" si="21"/>
        <v>-0.28650258113122767</v>
      </c>
      <c r="AW8">
        <f t="shared" si="22"/>
        <v>-0.24121777000597766</v>
      </c>
      <c r="AX8">
        <f t="shared" si="23"/>
        <v>-0.26568025138187479</v>
      </c>
      <c r="AY8">
        <f t="shared" si="24"/>
        <v>0</v>
      </c>
      <c r="AZ8">
        <f t="shared" si="25"/>
        <v>0</v>
      </c>
      <c r="BA8">
        <f t="shared" si="26"/>
        <v>-0.26568025138187479</v>
      </c>
      <c r="BB8">
        <f t="shared" si="27"/>
        <v>0</v>
      </c>
      <c r="BC8">
        <f t="shared" si="28"/>
        <v>0</v>
      </c>
      <c r="BD8">
        <f t="shared" si="29"/>
        <v>-8.3231334706284674E-2</v>
      </c>
      <c r="BE8">
        <f t="shared" si="30"/>
        <v>0</v>
      </c>
      <c r="BF8">
        <f t="shared" si="31"/>
        <v>2.2463109856577148</v>
      </c>
    </row>
    <row r="9" spans="1:60" x14ac:dyDescent="0.25">
      <c r="A9" s="4" t="s">
        <v>111</v>
      </c>
      <c r="B9" s="5">
        <v>8</v>
      </c>
      <c r="C9" s="5">
        <v>29</v>
      </c>
      <c r="D9" s="5">
        <v>4</v>
      </c>
      <c r="E9" s="5">
        <v>10</v>
      </c>
      <c r="F9" s="5">
        <v>3</v>
      </c>
      <c r="G9" s="5">
        <v>22</v>
      </c>
      <c r="H9" s="5">
        <v>13</v>
      </c>
      <c r="I9" s="5">
        <v>3</v>
      </c>
      <c r="J9" s="5">
        <v>16</v>
      </c>
      <c r="K9" s="5">
        <v>12</v>
      </c>
      <c r="L9" s="5">
        <v>16</v>
      </c>
      <c r="M9" s="5">
        <v>4</v>
      </c>
      <c r="N9" s="5">
        <v>10</v>
      </c>
      <c r="O9" s="5">
        <v>16</v>
      </c>
      <c r="P9" s="5">
        <v>15</v>
      </c>
      <c r="Q9" s="5">
        <v>12</v>
      </c>
      <c r="R9" s="5">
        <v>6</v>
      </c>
      <c r="S9" s="5">
        <v>8</v>
      </c>
      <c r="T9" s="5">
        <v>207</v>
      </c>
    </row>
    <row r="14" spans="1:60" x14ac:dyDescent="0.25">
      <c r="A14" s="3" t="s">
        <v>113</v>
      </c>
      <c r="B14" s="3" t="s">
        <v>115</v>
      </c>
    </row>
    <row r="15" spans="1:60" x14ac:dyDescent="0.25">
      <c r="A15" s="3" t="s">
        <v>110</v>
      </c>
      <c r="B15" t="s">
        <v>56</v>
      </c>
      <c r="C15" t="s">
        <v>81</v>
      </c>
      <c r="D15" t="s">
        <v>72</v>
      </c>
      <c r="E15" t="s">
        <v>51</v>
      </c>
      <c r="F15" t="s">
        <v>98</v>
      </c>
      <c r="G15" t="s">
        <v>78</v>
      </c>
      <c r="H15" t="s">
        <v>53</v>
      </c>
      <c r="I15" t="s">
        <v>84</v>
      </c>
      <c r="J15" t="s">
        <v>60</v>
      </c>
      <c r="K15" t="s">
        <v>63</v>
      </c>
      <c r="L15" t="s">
        <v>32</v>
      </c>
      <c r="M15" t="s">
        <v>85</v>
      </c>
      <c r="N15" t="s">
        <v>58</v>
      </c>
      <c r="O15" t="s">
        <v>88</v>
      </c>
      <c r="P15" t="s">
        <v>67</v>
      </c>
      <c r="Q15" t="s">
        <v>40</v>
      </c>
      <c r="R15" t="s">
        <v>101</v>
      </c>
      <c r="S15" t="s">
        <v>47</v>
      </c>
      <c r="T15" t="s">
        <v>111</v>
      </c>
    </row>
    <row r="16" spans="1:60" x14ac:dyDescent="0.25">
      <c r="A16" s="4" t="s">
        <v>29</v>
      </c>
      <c r="B16" s="5"/>
      <c r="C16" s="5"/>
      <c r="D16" s="5"/>
      <c r="E16" s="5">
        <v>5</v>
      </c>
      <c r="F16" s="5"/>
      <c r="G16" s="5"/>
      <c r="H16" s="5"/>
      <c r="I16" s="5"/>
      <c r="J16" s="5"/>
      <c r="K16" s="5"/>
      <c r="L16" s="5">
        <v>8</v>
      </c>
      <c r="M16" s="5"/>
      <c r="N16" s="5"/>
      <c r="O16" s="5"/>
      <c r="P16" s="5"/>
      <c r="Q16" s="5">
        <v>7</v>
      </c>
      <c r="R16" s="5"/>
      <c r="S16" s="5">
        <v>1</v>
      </c>
      <c r="T16" s="5">
        <v>21</v>
      </c>
      <c r="U16">
        <f>B16/$T16</f>
        <v>0</v>
      </c>
      <c r="V16">
        <f t="shared" ref="V16:AL27" si="32">C16/$T16</f>
        <v>0</v>
      </c>
      <c r="W16">
        <f t="shared" si="32"/>
        <v>0</v>
      </c>
      <c r="X16">
        <f t="shared" si="32"/>
        <v>0.23809523809523808</v>
      </c>
      <c r="Y16">
        <f t="shared" si="32"/>
        <v>0</v>
      </c>
      <c r="Z16">
        <f t="shared" si="32"/>
        <v>0</v>
      </c>
      <c r="AA16">
        <f t="shared" si="32"/>
        <v>0</v>
      </c>
      <c r="AB16">
        <f t="shared" si="32"/>
        <v>0</v>
      </c>
      <c r="AC16">
        <f t="shared" si="32"/>
        <v>0</v>
      </c>
      <c r="AD16">
        <f t="shared" si="32"/>
        <v>0</v>
      </c>
      <c r="AE16">
        <f t="shared" si="32"/>
        <v>0.38095238095238093</v>
      </c>
      <c r="AF16">
        <f t="shared" si="32"/>
        <v>0</v>
      </c>
      <c r="AG16">
        <f t="shared" si="32"/>
        <v>0</v>
      </c>
      <c r="AH16">
        <f t="shared" si="32"/>
        <v>0</v>
      </c>
      <c r="AI16">
        <f t="shared" si="32"/>
        <v>0</v>
      </c>
      <c r="AJ16">
        <f t="shared" si="32"/>
        <v>0.33333333333333331</v>
      </c>
      <c r="AK16">
        <f t="shared" si="32"/>
        <v>0</v>
      </c>
      <c r="AL16">
        <f t="shared" si="32"/>
        <v>4.7619047619047616E-2</v>
      </c>
      <c r="AN16">
        <f>IF(U16=0,0,U16*LN(U16))</f>
        <v>0</v>
      </c>
      <c r="AO16">
        <f t="shared" ref="AO16:BE27" si="33">IF(V16=0,0,V16*LN(V16))</f>
        <v>0</v>
      </c>
      <c r="AP16">
        <f t="shared" si="33"/>
        <v>0</v>
      </c>
      <c r="AQ16">
        <f t="shared" si="33"/>
        <v>-0.341686791735553</v>
      </c>
      <c r="AR16">
        <f t="shared" si="33"/>
        <v>0</v>
      </c>
      <c r="AS16">
        <f t="shared" si="33"/>
        <v>0</v>
      </c>
      <c r="AT16">
        <f t="shared" si="33"/>
        <v>0</v>
      </c>
      <c r="AU16">
        <f t="shared" si="33"/>
        <v>0</v>
      </c>
      <c r="AV16">
        <f t="shared" si="33"/>
        <v>0</v>
      </c>
      <c r="AW16">
        <f t="shared" si="33"/>
        <v>0</v>
      </c>
      <c r="AX16">
        <f t="shared" si="33"/>
        <v>-0.36764986515946174</v>
      </c>
      <c r="AY16">
        <f t="shared" si="33"/>
        <v>0</v>
      </c>
      <c r="AZ16">
        <f t="shared" si="33"/>
        <v>0</v>
      </c>
      <c r="BA16">
        <f t="shared" si="33"/>
        <v>0</v>
      </c>
      <c r="BB16">
        <f t="shared" si="33"/>
        <v>0</v>
      </c>
      <c r="BC16">
        <f t="shared" si="33"/>
        <v>-0.36620409622270322</v>
      </c>
      <c r="BD16">
        <f t="shared" si="33"/>
        <v>0</v>
      </c>
      <c r="BE16">
        <f t="shared" si="33"/>
        <v>-0.14497725893921062</v>
      </c>
      <c r="BF16">
        <f>-SUM(AN16:BE16)</f>
        <v>1.2205180120569288</v>
      </c>
      <c r="BG16" t="str">
        <f>A16</f>
        <v>AG01</v>
      </c>
      <c r="BH16" t="str">
        <f>LEFT(BG16,2)</f>
        <v>AG</v>
      </c>
    </row>
    <row r="17" spans="1:60" x14ac:dyDescent="0.25">
      <c r="A17" s="4" t="s">
        <v>52</v>
      </c>
      <c r="B17" s="5">
        <v>1</v>
      </c>
      <c r="C17" s="5"/>
      <c r="D17" s="5"/>
      <c r="E17" s="5"/>
      <c r="F17" s="5"/>
      <c r="G17" s="5"/>
      <c r="H17" s="5">
        <v>2</v>
      </c>
      <c r="I17" s="5"/>
      <c r="J17" s="5"/>
      <c r="K17" s="5"/>
      <c r="L17" s="5"/>
      <c r="M17" s="5"/>
      <c r="N17" s="5">
        <v>6</v>
      </c>
      <c r="O17" s="5"/>
      <c r="P17" s="5"/>
      <c r="Q17" s="5"/>
      <c r="R17" s="5"/>
      <c r="S17" s="5"/>
      <c r="T17" s="5">
        <v>9</v>
      </c>
      <c r="U17">
        <f t="shared" ref="U17:U27" si="34">B17/$T17</f>
        <v>0.1111111111111111</v>
      </c>
      <c r="V17">
        <f t="shared" si="32"/>
        <v>0</v>
      </c>
      <c r="W17">
        <f t="shared" si="32"/>
        <v>0</v>
      </c>
      <c r="X17">
        <f t="shared" si="32"/>
        <v>0</v>
      </c>
      <c r="Y17">
        <f t="shared" si="32"/>
        <v>0</v>
      </c>
      <c r="Z17">
        <f t="shared" si="32"/>
        <v>0</v>
      </c>
      <c r="AA17">
        <f t="shared" si="32"/>
        <v>0.22222222222222221</v>
      </c>
      <c r="AB17">
        <f t="shared" si="32"/>
        <v>0</v>
      </c>
      <c r="AC17">
        <f t="shared" si="32"/>
        <v>0</v>
      </c>
      <c r="AD17">
        <f t="shared" si="32"/>
        <v>0</v>
      </c>
      <c r="AE17">
        <f t="shared" si="32"/>
        <v>0</v>
      </c>
      <c r="AF17">
        <f t="shared" si="32"/>
        <v>0</v>
      </c>
      <c r="AG17">
        <f t="shared" si="32"/>
        <v>0.66666666666666663</v>
      </c>
      <c r="AH17">
        <f t="shared" si="32"/>
        <v>0</v>
      </c>
      <c r="AI17">
        <f t="shared" si="32"/>
        <v>0</v>
      </c>
      <c r="AJ17">
        <f t="shared" si="32"/>
        <v>0</v>
      </c>
      <c r="AK17">
        <f t="shared" si="32"/>
        <v>0</v>
      </c>
      <c r="AL17">
        <f t="shared" si="32"/>
        <v>0</v>
      </c>
      <c r="AN17">
        <f t="shared" ref="AN17:AN27" si="35">IF(U17=0,0,U17*LN(U17))</f>
        <v>-0.24413606414846883</v>
      </c>
      <c r="AO17">
        <f t="shared" si="33"/>
        <v>0</v>
      </c>
      <c r="AP17">
        <f t="shared" si="33"/>
        <v>0</v>
      </c>
      <c r="AQ17">
        <f t="shared" si="33"/>
        <v>0</v>
      </c>
      <c r="AR17">
        <f t="shared" si="33"/>
        <v>0</v>
      </c>
      <c r="AS17">
        <f t="shared" si="33"/>
        <v>0</v>
      </c>
      <c r="AT17">
        <f t="shared" si="33"/>
        <v>-0.33423942150583869</v>
      </c>
      <c r="AU17">
        <f t="shared" si="33"/>
        <v>0</v>
      </c>
      <c r="AV17">
        <f t="shared" si="33"/>
        <v>0</v>
      </c>
      <c r="AW17">
        <f t="shared" si="33"/>
        <v>0</v>
      </c>
      <c r="AX17">
        <f t="shared" si="33"/>
        <v>0</v>
      </c>
      <c r="AY17">
        <f t="shared" si="33"/>
        <v>0</v>
      </c>
      <c r="AZ17">
        <f t="shared" si="33"/>
        <v>-0.27031007207210961</v>
      </c>
      <c r="BA17">
        <f t="shared" si="33"/>
        <v>0</v>
      </c>
      <c r="BB17">
        <f t="shared" si="33"/>
        <v>0</v>
      </c>
      <c r="BC17">
        <f t="shared" si="33"/>
        <v>0</v>
      </c>
      <c r="BD17">
        <f t="shared" si="33"/>
        <v>0</v>
      </c>
      <c r="BE17">
        <f t="shared" si="33"/>
        <v>0</v>
      </c>
      <c r="BF17">
        <f t="shared" ref="BF17:BF27" si="36">-SUM(AN17:BE17)</f>
        <v>0.84868555772641718</v>
      </c>
      <c r="BG17" t="str">
        <f t="shared" ref="BG17:BG27" si="37">A17</f>
        <v>AG02</v>
      </c>
      <c r="BH17" t="str">
        <f t="shared" ref="BH17:BH27" si="38">LEFT(BG17,2)</f>
        <v>AG</v>
      </c>
    </row>
    <row r="18" spans="1:60" x14ac:dyDescent="0.25">
      <c r="A18" s="4" t="s">
        <v>59</v>
      </c>
      <c r="B18" s="5">
        <v>1</v>
      </c>
      <c r="C18" s="5"/>
      <c r="D18" s="5"/>
      <c r="E18" s="5"/>
      <c r="F18" s="5"/>
      <c r="G18" s="5"/>
      <c r="H18" s="5"/>
      <c r="I18" s="5"/>
      <c r="J18" s="5">
        <v>7</v>
      </c>
      <c r="K18" s="5">
        <v>3</v>
      </c>
      <c r="L18" s="5"/>
      <c r="M18" s="5"/>
      <c r="N18" s="5"/>
      <c r="O18" s="5"/>
      <c r="P18" s="5">
        <v>3</v>
      </c>
      <c r="Q18" s="5">
        <v>3</v>
      </c>
      <c r="R18" s="5"/>
      <c r="S18" s="5"/>
      <c r="T18" s="5">
        <v>17</v>
      </c>
      <c r="U18">
        <f t="shared" si="34"/>
        <v>5.8823529411764705E-2</v>
      </c>
      <c r="V18">
        <f t="shared" si="32"/>
        <v>0</v>
      </c>
      <c r="W18">
        <f t="shared" si="32"/>
        <v>0</v>
      </c>
      <c r="X18">
        <f t="shared" si="32"/>
        <v>0</v>
      </c>
      <c r="Y18">
        <f t="shared" si="32"/>
        <v>0</v>
      </c>
      <c r="Z18">
        <f t="shared" si="32"/>
        <v>0</v>
      </c>
      <c r="AA18">
        <f t="shared" si="32"/>
        <v>0</v>
      </c>
      <c r="AB18">
        <f t="shared" si="32"/>
        <v>0</v>
      </c>
      <c r="AC18">
        <f t="shared" si="32"/>
        <v>0.41176470588235292</v>
      </c>
      <c r="AD18">
        <f t="shared" si="32"/>
        <v>0.17647058823529413</v>
      </c>
      <c r="AE18">
        <f t="shared" si="32"/>
        <v>0</v>
      </c>
      <c r="AF18">
        <f t="shared" si="32"/>
        <v>0</v>
      </c>
      <c r="AG18">
        <f t="shared" si="32"/>
        <v>0</v>
      </c>
      <c r="AH18">
        <f t="shared" si="32"/>
        <v>0</v>
      </c>
      <c r="AI18">
        <f t="shared" si="32"/>
        <v>0.17647058823529413</v>
      </c>
      <c r="AJ18">
        <f t="shared" si="32"/>
        <v>0.17647058823529413</v>
      </c>
      <c r="AK18">
        <f t="shared" si="32"/>
        <v>0</v>
      </c>
      <c r="AL18">
        <f t="shared" si="32"/>
        <v>0</v>
      </c>
      <c r="AN18">
        <f t="shared" si="35"/>
        <v>-0.16665960847389508</v>
      </c>
      <c r="AO18">
        <f t="shared" si="33"/>
        <v>0</v>
      </c>
      <c r="AP18">
        <f t="shared" si="33"/>
        <v>0</v>
      </c>
      <c r="AQ18">
        <f t="shared" si="33"/>
        <v>0</v>
      </c>
      <c r="AR18">
        <f t="shared" si="33"/>
        <v>0</v>
      </c>
      <c r="AS18">
        <f t="shared" si="33"/>
        <v>0</v>
      </c>
      <c r="AT18">
        <f t="shared" si="33"/>
        <v>0</v>
      </c>
      <c r="AU18">
        <f t="shared" si="33"/>
        <v>0</v>
      </c>
      <c r="AV18">
        <f t="shared" si="33"/>
        <v>-0.36536013911801879</v>
      </c>
      <c r="AW18">
        <f t="shared" si="33"/>
        <v>-0.30610606859790113</v>
      </c>
      <c r="AX18">
        <f t="shared" si="33"/>
        <v>0</v>
      </c>
      <c r="AY18">
        <f t="shared" si="33"/>
        <v>0</v>
      </c>
      <c r="AZ18">
        <f t="shared" si="33"/>
        <v>0</v>
      </c>
      <c r="BA18">
        <f t="shared" si="33"/>
        <v>0</v>
      </c>
      <c r="BB18">
        <f t="shared" si="33"/>
        <v>-0.30610606859790113</v>
      </c>
      <c r="BC18">
        <f t="shared" si="33"/>
        <v>-0.30610606859790113</v>
      </c>
      <c r="BD18">
        <f t="shared" si="33"/>
        <v>0</v>
      </c>
      <c r="BE18">
        <f t="shared" si="33"/>
        <v>0</v>
      </c>
      <c r="BF18">
        <f t="shared" si="36"/>
        <v>1.4503379533856171</v>
      </c>
      <c r="BG18" t="str">
        <f t="shared" si="37"/>
        <v>AG03</v>
      </c>
      <c r="BH18" t="str">
        <f t="shared" si="38"/>
        <v>AG</v>
      </c>
    </row>
    <row r="19" spans="1:60" x14ac:dyDescent="0.25">
      <c r="A19" s="4" t="s">
        <v>69</v>
      </c>
      <c r="B19" s="5"/>
      <c r="C19" s="5">
        <v>9</v>
      </c>
      <c r="D19" s="5">
        <v>1</v>
      </c>
      <c r="E19" s="5"/>
      <c r="F19" s="5"/>
      <c r="G19" s="5">
        <v>4</v>
      </c>
      <c r="H19" s="5">
        <v>7</v>
      </c>
      <c r="I19" s="5"/>
      <c r="J19" s="5"/>
      <c r="K19" s="5"/>
      <c r="L19" s="5"/>
      <c r="M19" s="5"/>
      <c r="N19" s="5"/>
      <c r="O19" s="5"/>
      <c r="P19" s="5">
        <v>8</v>
      </c>
      <c r="Q19" s="5">
        <v>1</v>
      </c>
      <c r="R19" s="5"/>
      <c r="S19" s="5"/>
      <c r="T19" s="5">
        <v>30</v>
      </c>
      <c r="U19">
        <f t="shared" si="34"/>
        <v>0</v>
      </c>
      <c r="V19">
        <f t="shared" si="32"/>
        <v>0.3</v>
      </c>
      <c r="W19">
        <f t="shared" si="32"/>
        <v>3.3333333333333333E-2</v>
      </c>
      <c r="X19">
        <f t="shared" si="32"/>
        <v>0</v>
      </c>
      <c r="Y19">
        <f t="shared" si="32"/>
        <v>0</v>
      </c>
      <c r="Z19">
        <f t="shared" si="32"/>
        <v>0.13333333333333333</v>
      </c>
      <c r="AA19">
        <f t="shared" si="32"/>
        <v>0.23333333333333334</v>
      </c>
      <c r="AB19">
        <f t="shared" si="32"/>
        <v>0</v>
      </c>
      <c r="AC19">
        <f t="shared" si="32"/>
        <v>0</v>
      </c>
      <c r="AD19">
        <f t="shared" si="32"/>
        <v>0</v>
      </c>
      <c r="AE19">
        <f t="shared" si="32"/>
        <v>0</v>
      </c>
      <c r="AF19">
        <f t="shared" si="32"/>
        <v>0</v>
      </c>
      <c r="AG19">
        <f t="shared" si="32"/>
        <v>0</v>
      </c>
      <c r="AH19">
        <f t="shared" si="32"/>
        <v>0</v>
      </c>
      <c r="AI19">
        <f t="shared" si="32"/>
        <v>0.26666666666666666</v>
      </c>
      <c r="AJ19">
        <f t="shared" si="32"/>
        <v>3.3333333333333333E-2</v>
      </c>
      <c r="AK19">
        <f t="shared" si="32"/>
        <v>0</v>
      </c>
      <c r="AL19">
        <f t="shared" si="32"/>
        <v>0</v>
      </c>
      <c r="AN19">
        <f t="shared" si="35"/>
        <v>0</v>
      </c>
      <c r="AO19">
        <f t="shared" si="33"/>
        <v>-0.36119184129778081</v>
      </c>
      <c r="AP19">
        <f t="shared" si="33"/>
        <v>-0.11337324605540518</v>
      </c>
      <c r="AQ19">
        <f t="shared" si="33"/>
        <v>0</v>
      </c>
      <c r="AR19">
        <f t="shared" si="33"/>
        <v>0</v>
      </c>
      <c r="AS19">
        <f t="shared" si="33"/>
        <v>-0.26865373607230197</v>
      </c>
      <c r="AT19">
        <f t="shared" si="33"/>
        <v>-0.33956702094159646</v>
      </c>
      <c r="AU19">
        <f t="shared" si="33"/>
        <v>0</v>
      </c>
      <c r="AV19">
        <f t="shared" si="33"/>
        <v>0</v>
      </c>
      <c r="AW19">
        <f t="shared" si="33"/>
        <v>0</v>
      </c>
      <c r="AX19">
        <f t="shared" si="33"/>
        <v>0</v>
      </c>
      <c r="AY19">
        <f t="shared" si="33"/>
        <v>0</v>
      </c>
      <c r="AZ19">
        <f t="shared" si="33"/>
        <v>0</v>
      </c>
      <c r="BA19">
        <f t="shared" si="33"/>
        <v>0</v>
      </c>
      <c r="BB19">
        <f t="shared" si="33"/>
        <v>-0.35246822399528521</v>
      </c>
      <c r="BC19">
        <f t="shared" si="33"/>
        <v>-0.11337324605540518</v>
      </c>
      <c r="BD19">
        <f t="shared" si="33"/>
        <v>0</v>
      </c>
      <c r="BE19">
        <f t="shared" si="33"/>
        <v>0</v>
      </c>
      <c r="BF19">
        <f t="shared" si="36"/>
        <v>1.5486273144177747</v>
      </c>
      <c r="BG19" t="str">
        <f t="shared" si="37"/>
        <v>CF01</v>
      </c>
      <c r="BH19" t="str">
        <f t="shared" si="38"/>
        <v>CF</v>
      </c>
    </row>
    <row r="20" spans="1:60" x14ac:dyDescent="0.25">
      <c r="A20" s="4" t="s">
        <v>83</v>
      </c>
      <c r="B20" s="5"/>
      <c r="C20" s="5"/>
      <c r="D20" s="5"/>
      <c r="E20" s="5"/>
      <c r="F20" s="5"/>
      <c r="G20" s="5">
        <v>9</v>
      </c>
      <c r="H20" s="5"/>
      <c r="I20" s="5">
        <v>1</v>
      </c>
      <c r="J20" s="5"/>
      <c r="K20" s="5">
        <v>4</v>
      </c>
      <c r="L20" s="5"/>
      <c r="M20" s="5">
        <v>3</v>
      </c>
      <c r="N20" s="5">
        <v>3</v>
      </c>
      <c r="O20" s="5">
        <v>3</v>
      </c>
      <c r="P20" s="5"/>
      <c r="Q20" s="5"/>
      <c r="R20" s="5"/>
      <c r="S20" s="5">
        <v>7</v>
      </c>
      <c r="T20" s="5">
        <v>30</v>
      </c>
      <c r="U20">
        <f t="shared" si="34"/>
        <v>0</v>
      </c>
      <c r="V20">
        <f t="shared" si="32"/>
        <v>0</v>
      </c>
      <c r="W20">
        <f t="shared" si="32"/>
        <v>0</v>
      </c>
      <c r="X20">
        <f t="shared" si="32"/>
        <v>0</v>
      </c>
      <c r="Y20">
        <f t="shared" si="32"/>
        <v>0</v>
      </c>
      <c r="Z20">
        <f t="shared" si="32"/>
        <v>0.3</v>
      </c>
      <c r="AA20">
        <f t="shared" si="32"/>
        <v>0</v>
      </c>
      <c r="AB20">
        <f t="shared" si="32"/>
        <v>3.3333333333333333E-2</v>
      </c>
      <c r="AC20">
        <f t="shared" si="32"/>
        <v>0</v>
      </c>
      <c r="AD20">
        <f t="shared" si="32"/>
        <v>0.13333333333333333</v>
      </c>
      <c r="AE20">
        <f t="shared" si="32"/>
        <v>0</v>
      </c>
      <c r="AF20">
        <f t="shared" si="32"/>
        <v>0.1</v>
      </c>
      <c r="AG20">
        <f t="shared" si="32"/>
        <v>0.1</v>
      </c>
      <c r="AH20">
        <f t="shared" si="32"/>
        <v>0.1</v>
      </c>
      <c r="AI20">
        <f t="shared" si="32"/>
        <v>0</v>
      </c>
      <c r="AJ20">
        <f t="shared" si="32"/>
        <v>0</v>
      </c>
      <c r="AK20">
        <f t="shared" si="32"/>
        <v>0</v>
      </c>
      <c r="AL20">
        <f t="shared" si="32"/>
        <v>0.23333333333333334</v>
      </c>
      <c r="AN20">
        <f t="shared" si="35"/>
        <v>0</v>
      </c>
      <c r="AO20">
        <f t="shared" si="33"/>
        <v>0</v>
      </c>
      <c r="AP20">
        <f t="shared" si="33"/>
        <v>0</v>
      </c>
      <c r="AQ20">
        <f t="shared" si="33"/>
        <v>0</v>
      </c>
      <c r="AR20">
        <f t="shared" si="33"/>
        <v>0</v>
      </c>
      <c r="AS20">
        <f t="shared" si="33"/>
        <v>-0.36119184129778081</v>
      </c>
      <c r="AT20">
        <f t="shared" si="33"/>
        <v>0</v>
      </c>
      <c r="AU20">
        <f t="shared" si="33"/>
        <v>-0.11337324605540518</v>
      </c>
      <c r="AV20">
        <f t="shared" si="33"/>
        <v>0</v>
      </c>
      <c r="AW20">
        <f t="shared" si="33"/>
        <v>-0.26865373607230197</v>
      </c>
      <c r="AX20">
        <f t="shared" si="33"/>
        <v>0</v>
      </c>
      <c r="AY20">
        <f t="shared" si="33"/>
        <v>-0.23025850929940456</v>
      </c>
      <c r="AZ20">
        <f t="shared" si="33"/>
        <v>-0.23025850929940456</v>
      </c>
      <c r="BA20">
        <f t="shared" si="33"/>
        <v>-0.23025850929940456</v>
      </c>
      <c r="BB20">
        <f t="shared" si="33"/>
        <v>0</v>
      </c>
      <c r="BC20">
        <f t="shared" si="33"/>
        <v>0</v>
      </c>
      <c r="BD20">
        <f t="shared" si="33"/>
        <v>0</v>
      </c>
      <c r="BE20">
        <f t="shared" si="33"/>
        <v>-0.33956702094159646</v>
      </c>
      <c r="BF20">
        <f t="shared" si="36"/>
        <v>1.7735613722652979</v>
      </c>
      <c r="BG20" t="str">
        <f t="shared" si="37"/>
        <v>CF02</v>
      </c>
      <c r="BH20" t="str">
        <f t="shared" si="38"/>
        <v>CF</v>
      </c>
    </row>
    <row r="21" spans="1:60" x14ac:dyDescent="0.25">
      <c r="A21" s="4" t="s">
        <v>89</v>
      </c>
      <c r="B21" s="5"/>
      <c r="C21" s="5">
        <v>20</v>
      </c>
      <c r="D21" s="5"/>
      <c r="E21" s="5"/>
      <c r="F21" s="5"/>
      <c r="G21" s="5"/>
      <c r="H21" s="5">
        <v>3</v>
      </c>
      <c r="I21" s="5"/>
      <c r="J21" s="5"/>
      <c r="K21" s="5"/>
      <c r="L21" s="5"/>
      <c r="M21" s="5"/>
      <c r="N21" s="5">
        <v>1</v>
      </c>
      <c r="O21" s="5">
        <v>5</v>
      </c>
      <c r="P21" s="5">
        <v>4</v>
      </c>
      <c r="Q21" s="5"/>
      <c r="R21" s="5"/>
      <c r="S21" s="5"/>
      <c r="T21" s="5">
        <v>33</v>
      </c>
      <c r="U21">
        <f t="shared" si="34"/>
        <v>0</v>
      </c>
      <c r="V21">
        <f t="shared" si="32"/>
        <v>0.60606060606060608</v>
      </c>
      <c r="W21">
        <f t="shared" si="32"/>
        <v>0</v>
      </c>
      <c r="X21">
        <f t="shared" si="32"/>
        <v>0</v>
      </c>
      <c r="Y21">
        <f t="shared" si="32"/>
        <v>0</v>
      </c>
      <c r="Z21">
        <f t="shared" si="32"/>
        <v>0</v>
      </c>
      <c r="AA21">
        <f t="shared" si="32"/>
        <v>9.0909090909090912E-2</v>
      </c>
      <c r="AB21">
        <f t="shared" si="32"/>
        <v>0</v>
      </c>
      <c r="AC21">
        <f t="shared" si="32"/>
        <v>0</v>
      </c>
      <c r="AD21">
        <f t="shared" si="32"/>
        <v>0</v>
      </c>
      <c r="AE21">
        <f t="shared" si="32"/>
        <v>0</v>
      </c>
      <c r="AF21">
        <f t="shared" si="32"/>
        <v>0</v>
      </c>
      <c r="AG21">
        <f t="shared" si="32"/>
        <v>3.0303030303030304E-2</v>
      </c>
      <c r="AH21">
        <f t="shared" si="32"/>
        <v>0.15151515151515152</v>
      </c>
      <c r="AI21">
        <f t="shared" si="32"/>
        <v>0.12121212121212122</v>
      </c>
      <c r="AJ21">
        <f t="shared" si="32"/>
        <v>0</v>
      </c>
      <c r="AK21">
        <f t="shared" si="32"/>
        <v>0</v>
      </c>
      <c r="AL21">
        <f t="shared" si="32"/>
        <v>0</v>
      </c>
      <c r="AN21">
        <f t="shared" si="35"/>
        <v>0</v>
      </c>
      <c r="AO21">
        <f t="shared" si="33"/>
        <v>-0.30350017449241773</v>
      </c>
      <c r="AP21">
        <f t="shared" si="33"/>
        <v>0</v>
      </c>
      <c r="AQ21">
        <f t="shared" si="33"/>
        <v>0</v>
      </c>
      <c r="AR21">
        <f t="shared" si="33"/>
        <v>0</v>
      </c>
      <c r="AS21">
        <f t="shared" si="33"/>
        <v>0</v>
      </c>
      <c r="AT21">
        <f t="shared" si="33"/>
        <v>-0.21799047934530644</v>
      </c>
      <c r="AU21">
        <f t="shared" si="33"/>
        <v>0</v>
      </c>
      <c r="AV21">
        <f t="shared" si="33"/>
        <v>0</v>
      </c>
      <c r="AW21">
        <f t="shared" si="33"/>
        <v>0</v>
      </c>
      <c r="AX21">
        <f t="shared" si="33"/>
        <v>0</v>
      </c>
      <c r="AY21">
        <f t="shared" si="33"/>
        <v>0</v>
      </c>
      <c r="AZ21">
        <f t="shared" si="33"/>
        <v>-0.10595477458989334</v>
      </c>
      <c r="BA21">
        <f t="shared" si="33"/>
        <v>-0.28591964379278484</v>
      </c>
      <c r="BB21">
        <f t="shared" si="33"/>
        <v>-0.25578341822382905</v>
      </c>
      <c r="BC21">
        <f t="shared" si="33"/>
        <v>0</v>
      </c>
      <c r="BD21">
        <f t="shared" si="33"/>
        <v>0</v>
      </c>
      <c r="BE21">
        <f t="shared" si="33"/>
        <v>0</v>
      </c>
      <c r="BF21">
        <f t="shared" si="36"/>
        <v>1.1691484904442313</v>
      </c>
      <c r="BG21" t="str">
        <f t="shared" si="37"/>
        <v>CF03</v>
      </c>
      <c r="BH21" t="str">
        <f t="shared" si="38"/>
        <v>CF</v>
      </c>
    </row>
    <row r="22" spans="1:60" x14ac:dyDescent="0.25">
      <c r="A22" s="4" t="s">
        <v>95</v>
      </c>
      <c r="B22" s="5"/>
      <c r="C22" s="5"/>
      <c r="D22" s="5">
        <v>1</v>
      </c>
      <c r="E22" s="5"/>
      <c r="F22" s="5">
        <v>3</v>
      </c>
      <c r="G22" s="5"/>
      <c r="H22" s="5"/>
      <c r="I22" s="5"/>
      <c r="J22" s="5"/>
      <c r="K22" s="5"/>
      <c r="L22" s="5">
        <v>2</v>
      </c>
      <c r="M22" s="5"/>
      <c r="N22" s="5"/>
      <c r="O22" s="5"/>
      <c r="P22" s="5"/>
      <c r="Q22" s="5"/>
      <c r="R22" s="5"/>
      <c r="S22" s="5"/>
      <c r="T22" s="5">
        <v>6</v>
      </c>
      <c r="U22">
        <f t="shared" si="34"/>
        <v>0</v>
      </c>
      <c r="V22">
        <f t="shared" si="32"/>
        <v>0</v>
      </c>
      <c r="W22">
        <f t="shared" si="32"/>
        <v>0.16666666666666666</v>
      </c>
      <c r="X22">
        <f t="shared" si="32"/>
        <v>0</v>
      </c>
      <c r="Y22">
        <f t="shared" si="32"/>
        <v>0.5</v>
      </c>
      <c r="Z22">
        <f t="shared" si="32"/>
        <v>0</v>
      </c>
      <c r="AA22">
        <f t="shared" si="32"/>
        <v>0</v>
      </c>
      <c r="AB22">
        <f t="shared" si="32"/>
        <v>0</v>
      </c>
      <c r="AC22">
        <f t="shared" si="32"/>
        <v>0</v>
      </c>
      <c r="AD22">
        <f t="shared" si="32"/>
        <v>0</v>
      </c>
      <c r="AE22">
        <f t="shared" si="32"/>
        <v>0.33333333333333331</v>
      </c>
      <c r="AF22">
        <f t="shared" si="32"/>
        <v>0</v>
      </c>
      <c r="AG22">
        <f t="shared" si="32"/>
        <v>0</v>
      </c>
      <c r="AH22">
        <f t="shared" si="32"/>
        <v>0</v>
      </c>
      <c r="AI22">
        <f t="shared" si="32"/>
        <v>0</v>
      </c>
      <c r="AJ22">
        <f t="shared" si="32"/>
        <v>0</v>
      </c>
      <c r="AK22">
        <f t="shared" si="32"/>
        <v>0</v>
      </c>
      <c r="AL22">
        <f t="shared" si="32"/>
        <v>0</v>
      </c>
      <c r="AN22">
        <f t="shared" si="35"/>
        <v>0</v>
      </c>
      <c r="AO22">
        <f t="shared" si="33"/>
        <v>0</v>
      </c>
      <c r="AP22">
        <f t="shared" si="33"/>
        <v>-0.29862657820467581</v>
      </c>
      <c r="AQ22">
        <f t="shared" si="33"/>
        <v>0</v>
      </c>
      <c r="AR22">
        <f t="shared" si="33"/>
        <v>-0.34657359027997264</v>
      </c>
      <c r="AS22">
        <f t="shared" si="33"/>
        <v>0</v>
      </c>
      <c r="AT22">
        <f t="shared" si="33"/>
        <v>0</v>
      </c>
      <c r="AU22">
        <f t="shared" si="33"/>
        <v>0</v>
      </c>
      <c r="AV22">
        <f t="shared" si="33"/>
        <v>0</v>
      </c>
      <c r="AW22">
        <f t="shared" si="33"/>
        <v>0</v>
      </c>
      <c r="AX22">
        <f t="shared" si="33"/>
        <v>-0.36620409622270322</v>
      </c>
      <c r="AY22">
        <f t="shared" si="33"/>
        <v>0</v>
      </c>
      <c r="AZ22">
        <f t="shared" si="33"/>
        <v>0</v>
      </c>
      <c r="BA22">
        <f t="shared" si="33"/>
        <v>0</v>
      </c>
      <c r="BB22">
        <f t="shared" si="33"/>
        <v>0</v>
      </c>
      <c r="BC22">
        <f t="shared" si="33"/>
        <v>0</v>
      </c>
      <c r="BD22">
        <f t="shared" si="33"/>
        <v>0</v>
      </c>
      <c r="BE22">
        <f t="shared" si="33"/>
        <v>0</v>
      </c>
      <c r="BF22">
        <f t="shared" si="36"/>
        <v>1.0114042647073518</v>
      </c>
      <c r="BG22" t="str">
        <f t="shared" si="37"/>
        <v>SE01</v>
      </c>
      <c r="BH22" t="str">
        <f t="shared" si="38"/>
        <v>SE</v>
      </c>
    </row>
    <row r="23" spans="1:60" x14ac:dyDescent="0.25">
      <c r="A23" s="4" t="s">
        <v>99</v>
      </c>
      <c r="B23" s="5"/>
      <c r="C23" s="5"/>
      <c r="D23" s="5"/>
      <c r="E23" s="5"/>
      <c r="F23" s="5"/>
      <c r="G23" s="5"/>
      <c r="H23" s="5"/>
      <c r="I23" s="5"/>
      <c r="J23" s="5">
        <v>2</v>
      </c>
      <c r="K23" s="5"/>
      <c r="L23" s="5"/>
      <c r="M23" s="5"/>
      <c r="N23" s="5"/>
      <c r="O23" s="5">
        <v>2</v>
      </c>
      <c r="P23" s="5"/>
      <c r="Q23" s="5">
        <v>1</v>
      </c>
      <c r="R23" s="5"/>
      <c r="S23" s="5"/>
      <c r="T23" s="5">
        <v>5</v>
      </c>
      <c r="U23">
        <f t="shared" si="34"/>
        <v>0</v>
      </c>
      <c r="V23">
        <f t="shared" si="32"/>
        <v>0</v>
      </c>
      <c r="W23">
        <f t="shared" si="32"/>
        <v>0</v>
      </c>
      <c r="X23">
        <f t="shared" si="32"/>
        <v>0</v>
      </c>
      <c r="Y23">
        <f t="shared" si="32"/>
        <v>0</v>
      </c>
      <c r="Z23">
        <f t="shared" si="32"/>
        <v>0</v>
      </c>
      <c r="AA23">
        <f t="shared" si="32"/>
        <v>0</v>
      </c>
      <c r="AB23">
        <f t="shared" si="32"/>
        <v>0</v>
      </c>
      <c r="AC23">
        <f t="shared" si="32"/>
        <v>0.4</v>
      </c>
      <c r="AD23">
        <f t="shared" si="32"/>
        <v>0</v>
      </c>
      <c r="AE23">
        <f t="shared" si="32"/>
        <v>0</v>
      </c>
      <c r="AF23">
        <f t="shared" si="32"/>
        <v>0</v>
      </c>
      <c r="AG23">
        <f t="shared" si="32"/>
        <v>0</v>
      </c>
      <c r="AH23">
        <f t="shared" si="32"/>
        <v>0.4</v>
      </c>
      <c r="AI23">
        <f t="shared" si="32"/>
        <v>0</v>
      </c>
      <c r="AJ23">
        <f t="shared" si="32"/>
        <v>0.2</v>
      </c>
      <c r="AK23">
        <f t="shared" si="32"/>
        <v>0</v>
      </c>
      <c r="AL23">
        <f t="shared" si="32"/>
        <v>0</v>
      </c>
      <c r="AN23">
        <f t="shared" si="35"/>
        <v>0</v>
      </c>
      <c r="AO23">
        <f t="shared" si="33"/>
        <v>0</v>
      </c>
      <c r="AP23">
        <f t="shared" si="33"/>
        <v>0</v>
      </c>
      <c r="AQ23">
        <f t="shared" si="33"/>
        <v>0</v>
      </c>
      <c r="AR23">
        <f t="shared" si="33"/>
        <v>0</v>
      </c>
      <c r="AS23">
        <f t="shared" si="33"/>
        <v>0</v>
      </c>
      <c r="AT23">
        <f t="shared" si="33"/>
        <v>0</v>
      </c>
      <c r="AU23">
        <f t="shared" si="33"/>
        <v>0</v>
      </c>
      <c r="AV23">
        <f t="shared" si="33"/>
        <v>-0.36651629274966202</v>
      </c>
      <c r="AW23">
        <f t="shared" si="33"/>
        <v>0</v>
      </c>
      <c r="AX23">
        <f t="shared" si="33"/>
        <v>0</v>
      </c>
      <c r="AY23">
        <f t="shared" si="33"/>
        <v>0</v>
      </c>
      <c r="AZ23">
        <f t="shared" si="33"/>
        <v>0</v>
      </c>
      <c r="BA23">
        <f t="shared" si="33"/>
        <v>-0.36651629274966202</v>
      </c>
      <c r="BB23">
        <f t="shared" si="33"/>
        <v>0</v>
      </c>
      <c r="BC23">
        <f t="shared" si="33"/>
        <v>-0.32188758248682009</v>
      </c>
      <c r="BD23">
        <f t="shared" si="33"/>
        <v>0</v>
      </c>
      <c r="BE23">
        <f t="shared" si="33"/>
        <v>0</v>
      </c>
      <c r="BF23">
        <f t="shared" si="36"/>
        <v>1.0549201679861442</v>
      </c>
      <c r="BG23" t="str">
        <f t="shared" si="37"/>
        <v>SE02</v>
      </c>
      <c r="BH23" t="str">
        <f t="shared" si="38"/>
        <v>SE</v>
      </c>
    </row>
    <row r="24" spans="1:60" x14ac:dyDescent="0.25">
      <c r="A24" s="4" t="s">
        <v>100</v>
      </c>
      <c r="B24" s="5"/>
      <c r="C24" s="5"/>
      <c r="D24" s="5"/>
      <c r="E24" s="5"/>
      <c r="F24" s="5"/>
      <c r="G24" s="5">
        <v>4</v>
      </c>
      <c r="H24" s="5"/>
      <c r="I24" s="5"/>
      <c r="J24" s="5"/>
      <c r="K24" s="5"/>
      <c r="L24" s="5"/>
      <c r="M24" s="5">
        <v>1</v>
      </c>
      <c r="N24" s="5"/>
      <c r="O24" s="5"/>
      <c r="P24" s="5"/>
      <c r="Q24" s="5"/>
      <c r="R24" s="5">
        <v>5</v>
      </c>
      <c r="S24" s="5"/>
      <c r="T24" s="5">
        <v>10</v>
      </c>
      <c r="U24">
        <f t="shared" si="34"/>
        <v>0</v>
      </c>
      <c r="V24">
        <f t="shared" si="32"/>
        <v>0</v>
      </c>
      <c r="W24">
        <f t="shared" si="32"/>
        <v>0</v>
      </c>
      <c r="X24">
        <f t="shared" si="32"/>
        <v>0</v>
      </c>
      <c r="Y24">
        <f t="shared" si="32"/>
        <v>0</v>
      </c>
      <c r="Z24">
        <f t="shared" si="32"/>
        <v>0.4</v>
      </c>
      <c r="AA24">
        <f t="shared" si="32"/>
        <v>0</v>
      </c>
      <c r="AB24">
        <f t="shared" si="32"/>
        <v>0</v>
      </c>
      <c r="AC24">
        <f t="shared" si="32"/>
        <v>0</v>
      </c>
      <c r="AD24">
        <f t="shared" si="32"/>
        <v>0</v>
      </c>
      <c r="AE24">
        <f t="shared" si="32"/>
        <v>0</v>
      </c>
      <c r="AF24">
        <f t="shared" si="32"/>
        <v>0.1</v>
      </c>
      <c r="AG24">
        <f t="shared" si="32"/>
        <v>0</v>
      </c>
      <c r="AH24">
        <f t="shared" si="32"/>
        <v>0</v>
      </c>
      <c r="AI24">
        <f t="shared" si="32"/>
        <v>0</v>
      </c>
      <c r="AJ24">
        <f t="shared" si="32"/>
        <v>0</v>
      </c>
      <c r="AK24">
        <f t="shared" si="32"/>
        <v>0.5</v>
      </c>
      <c r="AL24">
        <f t="shared" si="32"/>
        <v>0</v>
      </c>
      <c r="AN24">
        <f t="shared" si="35"/>
        <v>0</v>
      </c>
      <c r="AO24">
        <f t="shared" si="33"/>
        <v>0</v>
      </c>
      <c r="AP24">
        <f t="shared" si="33"/>
        <v>0</v>
      </c>
      <c r="AQ24">
        <f t="shared" si="33"/>
        <v>0</v>
      </c>
      <c r="AR24">
        <f t="shared" si="33"/>
        <v>0</v>
      </c>
      <c r="AS24">
        <f t="shared" si="33"/>
        <v>-0.36651629274966202</v>
      </c>
      <c r="AT24">
        <f t="shared" si="33"/>
        <v>0</v>
      </c>
      <c r="AU24">
        <f t="shared" si="33"/>
        <v>0</v>
      </c>
      <c r="AV24">
        <f t="shared" si="33"/>
        <v>0</v>
      </c>
      <c r="AW24">
        <f t="shared" si="33"/>
        <v>0</v>
      </c>
      <c r="AX24">
        <f t="shared" si="33"/>
        <v>0</v>
      </c>
      <c r="AY24">
        <f t="shared" si="33"/>
        <v>-0.23025850929940456</v>
      </c>
      <c r="AZ24">
        <f t="shared" si="33"/>
        <v>0</v>
      </c>
      <c r="BA24">
        <f t="shared" si="33"/>
        <v>0</v>
      </c>
      <c r="BB24">
        <f t="shared" si="33"/>
        <v>0</v>
      </c>
      <c r="BC24">
        <f t="shared" si="33"/>
        <v>0</v>
      </c>
      <c r="BD24">
        <f t="shared" si="33"/>
        <v>-0.34657359027997264</v>
      </c>
      <c r="BE24">
        <f t="shared" si="33"/>
        <v>0</v>
      </c>
      <c r="BF24">
        <f t="shared" si="36"/>
        <v>0.94334839232903933</v>
      </c>
      <c r="BG24" t="str">
        <f t="shared" si="37"/>
        <v>SE03</v>
      </c>
      <c r="BH24" t="str">
        <f t="shared" si="38"/>
        <v>SE</v>
      </c>
    </row>
    <row r="25" spans="1:60" x14ac:dyDescent="0.25">
      <c r="A25" s="4" t="s">
        <v>105</v>
      </c>
      <c r="B25" s="5"/>
      <c r="C25" s="5"/>
      <c r="D25" s="5"/>
      <c r="E25" s="5"/>
      <c r="F25" s="5"/>
      <c r="G25" s="5">
        <v>5</v>
      </c>
      <c r="H25" s="5"/>
      <c r="I25" s="5"/>
      <c r="J25" s="5"/>
      <c r="K25" s="5"/>
      <c r="L25" s="5"/>
      <c r="M25" s="5"/>
      <c r="N25" s="5"/>
      <c r="O25" s="5">
        <v>6</v>
      </c>
      <c r="P25" s="5"/>
      <c r="Q25" s="5"/>
      <c r="R25" s="5"/>
      <c r="S25" s="5"/>
      <c r="T25" s="5">
        <v>11</v>
      </c>
      <c r="U25">
        <f t="shared" si="34"/>
        <v>0</v>
      </c>
      <c r="V25">
        <f t="shared" si="32"/>
        <v>0</v>
      </c>
      <c r="W25">
        <f t="shared" si="32"/>
        <v>0</v>
      </c>
      <c r="X25">
        <f t="shared" si="32"/>
        <v>0</v>
      </c>
      <c r="Y25">
        <f t="shared" si="32"/>
        <v>0</v>
      </c>
      <c r="Z25">
        <f t="shared" si="32"/>
        <v>0.45454545454545453</v>
      </c>
      <c r="AA25">
        <f t="shared" si="32"/>
        <v>0</v>
      </c>
      <c r="AB25">
        <f t="shared" si="32"/>
        <v>0</v>
      </c>
      <c r="AC25">
        <f t="shared" si="32"/>
        <v>0</v>
      </c>
      <c r="AD25">
        <f t="shared" si="32"/>
        <v>0</v>
      </c>
      <c r="AE25">
        <f t="shared" si="32"/>
        <v>0</v>
      </c>
      <c r="AF25">
        <f t="shared" si="32"/>
        <v>0</v>
      </c>
      <c r="AG25">
        <f t="shared" si="32"/>
        <v>0</v>
      </c>
      <c r="AH25">
        <f t="shared" si="32"/>
        <v>0.54545454545454541</v>
      </c>
      <c r="AI25">
        <f t="shared" si="32"/>
        <v>0</v>
      </c>
      <c r="AJ25">
        <f t="shared" si="32"/>
        <v>0</v>
      </c>
      <c r="AK25">
        <f t="shared" si="32"/>
        <v>0</v>
      </c>
      <c r="AL25">
        <f t="shared" si="32"/>
        <v>0</v>
      </c>
      <c r="AN25">
        <f t="shared" si="35"/>
        <v>0</v>
      </c>
      <c r="AO25">
        <f t="shared" si="33"/>
        <v>0</v>
      </c>
      <c r="AP25">
        <f t="shared" si="33"/>
        <v>0</v>
      </c>
      <c r="AQ25">
        <f t="shared" si="33"/>
        <v>0</v>
      </c>
      <c r="AR25">
        <f t="shared" si="33"/>
        <v>0</v>
      </c>
      <c r="AS25">
        <f t="shared" si="33"/>
        <v>-0.35838970925648644</v>
      </c>
      <c r="AT25">
        <f t="shared" si="33"/>
        <v>0</v>
      </c>
      <c r="AU25">
        <f t="shared" si="33"/>
        <v>0</v>
      </c>
      <c r="AV25">
        <f t="shared" si="33"/>
        <v>0</v>
      </c>
      <c r="AW25">
        <f t="shared" si="33"/>
        <v>0</v>
      </c>
      <c r="AX25">
        <f t="shared" si="33"/>
        <v>0</v>
      </c>
      <c r="AY25">
        <f t="shared" si="33"/>
        <v>0</v>
      </c>
      <c r="AZ25">
        <f t="shared" si="33"/>
        <v>0</v>
      </c>
      <c r="BA25">
        <f t="shared" si="33"/>
        <v>-0.33061952922017213</v>
      </c>
      <c r="BB25">
        <f t="shared" si="33"/>
        <v>0</v>
      </c>
      <c r="BC25">
        <f t="shared" si="33"/>
        <v>0</v>
      </c>
      <c r="BD25">
        <f t="shared" si="33"/>
        <v>0</v>
      </c>
      <c r="BE25">
        <f t="shared" si="33"/>
        <v>0</v>
      </c>
      <c r="BF25">
        <f t="shared" si="36"/>
        <v>0.68900923847665863</v>
      </c>
      <c r="BG25" t="str">
        <f t="shared" si="37"/>
        <v>WL01</v>
      </c>
      <c r="BH25" t="str">
        <f t="shared" si="38"/>
        <v>WL</v>
      </c>
    </row>
    <row r="26" spans="1:60" x14ac:dyDescent="0.25">
      <c r="A26" s="4" t="s">
        <v>108</v>
      </c>
      <c r="B26" s="5">
        <v>6</v>
      </c>
      <c r="C26" s="5"/>
      <c r="D26" s="5">
        <v>1</v>
      </c>
      <c r="E26" s="5">
        <v>5</v>
      </c>
      <c r="F26" s="5"/>
      <c r="G26" s="5"/>
      <c r="H26" s="5">
        <v>1</v>
      </c>
      <c r="I26" s="5"/>
      <c r="J26" s="5"/>
      <c r="K26" s="5">
        <v>2</v>
      </c>
      <c r="L26" s="5"/>
      <c r="M26" s="5"/>
      <c r="N26" s="5"/>
      <c r="O26" s="5"/>
      <c r="P26" s="5"/>
      <c r="Q26" s="5"/>
      <c r="R26" s="5"/>
      <c r="S26" s="5"/>
      <c r="T26" s="5">
        <v>15</v>
      </c>
      <c r="U26">
        <f t="shared" si="34"/>
        <v>0.4</v>
      </c>
      <c r="V26">
        <f t="shared" si="32"/>
        <v>0</v>
      </c>
      <c r="W26">
        <f t="shared" si="32"/>
        <v>6.6666666666666666E-2</v>
      </c>
      <c r="X26">
        <f t="shared" si="32"/>
        <v>0.33333333333333331</v>
      </c>
      <c r="Y26">
        <f t="shared" si="32"/>
        <v>0</v>
      </c>
      <c r="Z26">
        <f t="shared" si="32"/>
        <v>0</v>
      </c>
      <c r="AA26">
        <f t="shared" si="32"/>
        <v>6.6666666666666666E-2</v>
      </c>
      <c r="AB26">
        <f t="shared" si="32"/>
        <v>0</v>
      </c>
      <c r="AC26">
        <f t="shared" si="32"/>
        <v>0</v>
      </c>
      <c r="AD26">
        <f t="shared" si="32"/>
        <v>0.13333333333333333</v>
      </c>
      <c r="AE26">
        <f t="shared" si="32"/>
        <v>0</v>
      </c>
      <c r="AF26">
        <f t="shared" si="32"/>
        <v>0</v>
      </c>
      <c r="AG26">
        <f t="shared" si="32"/>
        <v>0</v>
      </c>
      <c r="AH26">
        <f t="shared" si="32"/>
        <v>0</v>
      </c>
      <c r="AI26">
        <f t="shared" si="32"/>
        <v>0</v>
      </c>
      <c r="AJ26">
        <f t="shared" si="32"/>
        <v>0</v>
      </c>
      <c r="AK26">
        <f t="shared" si="32"/>
        <v>0</v>
      </c>
      <c r="AL26">
        <f t="shared" si="32"/>
        <v>0</v>
      </c>
      <c r="AN26">
        <f t="shared" si="35"/>
        <v>-0.36651629274966202</v>
      </c>
      <c r="AO26">
        <f t="shared" si="33"/>
        <v>0</v>
      </c>
      <c r="AP26">
        <f t="shared" si="33"/>
        <v>-0.18053668007348067</v>
      </c>
      <c r="AQ26">
        <f t="shared" si="33"/>
        <v>-0.36620409622270322</v>
      </c>
      <c r="AR26">
        <f t="shared" si="33"/>
        <v>0</v>
      </c>
      <c r="AS26">
        <f t="shared" si="33"/>
        <v>0</v>
      </c>
      <c r="AT26">
        <f t="shared" si="33"/>
        <v>-0.18053668007348067</v>
      </c>
      <c r="AU26">
        <f t="shared" si="33"/>
        <v>0</v>
      </c>
      <c r="AV26">
        <f t="shared" si="33"/>
        <v>0</v>
      </c>
      <c r="AW26">
        <f t="shared" si="33"/>
        <v>-0.26865373607230197</v>
      </c>
      <c r="AX26">
        <f t="shared" si="33"/>
        <v>0</v>
      </c>
      <c r="AY26">
        <f t="shared" si="33"/>
        <v>0</v>
      </c>
      <c r="AZ26">
        <f t="shared" si="33"/>
        <v>0</v>
      </c>
      <c r="BA26">
        <f t="shared" si="33"/>
        <v>0</v>
      </c>
      <c r="BB26">
        <f t="shared" si="33"/>
        <v>0</v>
      </c>
      <c r="BC26">
        <f t="shared" si="33"/>
        <v>0</v>
      </c>
      <c r="BD26">
        <f t="shared" si="33"/>
        <v>0</v>
      </c>
      <c r="BE26">
        <f t="shared" si="33"/>
        <v>0</v>
      </c>
      <c r="BF26">
        <f t="shared" si="36"/>
        <v>1.3624474851916286</v>
      </c>
      <c r="BG26" t="str">
        <f t="shared" si="37"/>
        <v>WL02</v>
      </c>
      <c r="BH26" t="str">
        <f t="shared" si="38"/>
        <v>WL</v>
      </c>
    </row>
    <row r="27" spans="1:60" x14ac:dyDescent="0.25">
      <c r="A27" s="4" t="s">
        <v>109</v>
      </c>
      <c r="B27" s="5"/>
      <c r="C27" s="5"/>
      <c r="D27" s="5">
        <v>1</v>
      </c>
      <c r="E27" s="5"/>
      <c r="F27" s="5"/>
      <c r="G27" s="5"/>
      <c r="H27" s="5"/>
      <c r="I27" s="5">
        <v>2</v>
      </c>
      <c r="J27" s="5">
        <v>7</v>
      </c>
      <c r="K27" s="5">
        <v>3</v>
      </c>
      <c r="L27" s="5">
        <v>6</v>
      </c>
      <c r="M27" s="5"/>
      <c r="N27" s="5"/>
      <c r="O27" s="5"/>
      <c r="P27" s="5"/>
      <c r="Q27" s="5"/>
      <c r="R27" s="5">
        <v>1</v>
      </c>
      <c r="S27" s="5"/>
      <c r="T27" s="5">
        <v>20</v>
      </c>
      <c r="U27">
        <f t="shared" si="34"/>
        <v>0</v>
      </c>
      <c r="V27">
        <f t="shared" si="32"/>
        <v>0</v>
      </c>
      <c r="W27">
        <f t="shared" si="32"/>
        <v>0.05</v>
      </c>
      <c r="X27">
        <f t="shared" si="32"/>
        <v>0</v>
      </c>
      <c r="Y27">
        <f t="shared" si="32"/>
        <v>0</v>
      </c>
      <c r="Z27">
        <f t="shared" si="32"/>
        <v>0</v>
      </c>
      <c r="AA27">
        <f t="shared" si="32"/>
        <v>0</v>
      </c>
      <c r="AB27">
        <f t="shared" si="32"/>
        <v>0.1</v>
      </c>
      <c r="AC27">
        <f t="shared" si="32"/>
        <v>0.35</v>
      </c>
      <c r="AD27">
        <f t="shared" si="32"/>
        <v>0.15</v>
      </c>
      <c r="AE27">
        <f t="shared" si="32"/>
        <v>0.3</v>
      </c>
      <c r="AF27">
        <f t="shared" si="32"/>
        <v>0</v>
      </c>
      <c r="AG27">
        <f t="shared" si="32"/>
        <v>0</v>
      </c>
      <c r="AH27">
        <f t="shared" si="32"/>
        <v>0</v>
      </c>
      <c r="AI27">
        <f t="shared" si="32"/>
        <v>0</v>
      </c>
      <c r="AJ27">
        <f t="shared" si="32"/>
        <v>0</v>
      </c>
      <c r="AK27">
        <f t="shared" si="32"/>
        <v>0.05</v>
      </c>
      <c r="AL27">
        <f t="shared" si="32"/>
        <v>0</v>
      </c>
      <c r="AN27">
        <f t="shared" si="35"/>
        <v>0</v>
      </c>
      <c r="AO27">
        <f t="shared" si="33"/>
        <v>0</v>
      </c>
      <c r="AP27">
        <f t="shared" si="33"/>
        <v>-0.14978661367769955</v>
      </c>
      <c r="AQ27">
        <f t="shared" si="33"/>
        <v>0</v>
      </c>
      <c r="AR27">
        <f t="shared" si="33"/>
        <v>0</v>
      </c>
      <c r="AS27">
        <f t="shared" si="33"/>
        <v>0</v>
      </c>
      <c r="AT27">
        <f t="shared" si="33"/>
        <v>0</v>
      </c>
      <c r="AU27">
        <f t="shared" si="33"/>
        <v>-0.23025850929940456</v>
      </c>
      <c r="AV27">
        <f t="shared" si="33"/>
        <v>-0.36743774357453723</v>
      </c>
      <c r="AW27">
        <f t="shared" si="33"/>
        <v>-0.28456799773288216</v>
      </c>
      <c r="AX27">
        <f t="shared" si="33"/>
        <v>-0.36119184129778081</v>
      </c>
      <c r="AY27">
        <f t="shared" si="33"/>
        <v>0</v>
      </c>
      <c r="AZ27">
        <f t="shared" si="33"/>
        <v>0</v>
      </c>
      <c r="BA27">
        <f t="shared" si="33"/>
        <v>0</v>
      </c>
      <c r="BB27">
        <f t="shared" si="33"/>
        <v>0</v>
      </c>
      <c r="BC27">
        <f t="shared" si="33"/>
        <v>0</v>
      </c>
      <c r="BD27">
        <f t="shared" si="33"/>
        <v>-0.14978661367769955</v>
      </c>
      <c r="BE27">
        <f t="shared" si="33"/>
        <v>0</v>
      </c>
      <c r="BF27">
        <f t="shared" si="36"/>
        <v>1.5430293192600038</v>
      </c>
      <c r="BG27" t="str">
        <f t="shared" si="37"/>
        <v>WL03</v>
      </c>
      <c r="BH27" t="str">
        <f t="shared" si="38"/>
        <v>WL</v>
      </c>
    </row>
    <row r="28" spans="1:60" x14ac:dyDescent="0.25">
      <c r="A28" s="4" t="s">
        <v>111</v>
      </c>
      <c r="B28" s="5">
        <v>8</v>
      </c>
      <c r="C28" s="5">
        <v>29</v>
      </c>
      <c r="D28" s="5">
        <v>4</v>
      </c>
      <c r="E28" s="5">
        <v>10</v>
      </c>
      <c r="F28" s="5">
        <v>3</v>
      </c>
      <c r="G28" s="5">
        <v>22</v>
      </c>
      <c r="H28" s="5">
        <v>13</v>
      </c>
      <c r="I28" s="5">
        <v>3</v>
      </c>
      <c r="J28" s="5">
        <v>16</v>
      </c>
      <c r="K28" s="5">
        <v>12</v>
      </c>
      <c r="L28" s="5">
        <v>16</v>
      </c>
      <c r="M28" s="5">
        <v>4</v>
      </c>
      <c r="N28" s="5">
        <v>10</v>
      </c>
      <c r="O28" s="5">
        <v>16</v>
      </c>
      <c r="P28" s="5">
        <v>15</v>
      </c>
      <c r="Q28" s="5">
        <v>12</v>
      </c>
      <c r="R28" s="5">
        <v>6</v>
      </c>
      <c r="S28" s="5">
        <v>8</v>
      </c>
      <c r="T28" s="5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sqref="A1:C13"/>
    </sheetView>
  </sheetViews>
  <sheetFormatPr defaultRowHeight="15" x14ac:dyDescent="0.25"/>
  <cols>
    <col min="10" max="10" width="18.42578125" customWidth="1"/>
  </cols>
  <sheetData>
    <row r="1" spans="1:16" x14ac:dyDescent="0.25">
      <c r="A1" t="s">
        <v>124</v>
      </c>
      <c r="B1" t="s">
        <v>125</v>
      </c>
      <c r="C1" t="s">
        <v>117</v>
      </c>
      <c r="E1" t="s">
        <v>120</v>
      </c>
      <c r="F1" t="s">
        <v>121</v>
      </c>
      <c r="G1" t="s">
        <v>122</v>
      </c>
      <c r="H1" t="s">
        <v>123</v>
      </c>
      <c r="J1" t="s">
        <v>126</v>
      </c>
    </row>
    <row r="2" spans="1:16" x14ac:dyDescent="0.25">
      <c r="A2">
        <v>1.2205180120569288</v>
      </c>
      <c r="B2" t="s">
        <v>29</v>
      </c>
      <c r="C2" t="s">
        <v>120</v>
      </c>
      <c r="E2">
        <v>1.2205180120569288</v>
      </c>
      <c r="F2">
        <v>1.5486273144177747</v>
      </c>
      <c r="G2">
        <v>1.0114042647073518</v>
      </c>
      <c r="H2">
        <v>0.68900923847665863</v>
      </c>
    </row>
    <row r="3" spans="1:16" ht="15.75" thickBot="1" x14ac:dyDescent="0.3">
      <c r="A3">
        <v>0.84868555772641718</v>
      </c>
      <c r="B3" t="s">
        <v>52</v>
      </c>
      <c r="C3" t="s">
        <v>120</v>
      </c>
      <c r="E3">
        <v>0.84868555772641718</v>
      </c>
      <c r="F3">
        <v>1.7735613722652979</v>
      </c>
      <c r="G3">
        <v>1.0549201679861442</v>
      </c>
      <c r="H3">
        <v>1.3624474851916286</v>
      </c>
      <c r="J3" t="s">
        <v>127</v>
      </c>
    </row>
    <row r="4" spans="1:16" x14ac:dyDescent="0.25">
      <c r="A4">
        <v>1.4503379533856171</v>
      </c>
      <c r="B4" t="s">
        <v>59</v>
      </c>
      <c r="C4" t="s">
        <v>120</v>
      </c>
      <c r="E4">
        <v>1.4503379533856171</v>
      </c>
      <c r="F4">
        <v>1.1691484904442313</v>
      </c>
      <c r="G4">
        <v>0.94334839232903933</v>
      </c>
      <c r="H4">
        <v>1.5430293192600038</v>
      </c>
      <c r="J4" s="8" t="s">
        <v>128</v>
      </c>
      <c r="K4" s="8" t="s">
        <v>129</v>
      </c>
      <c r="L4" s="8" t="s">
        <v>130</v>
      </c>
      <c r="M4" s="8" t="s">
        <v>131</v>
      </c>
      <c r="N4" s="8" t="s">
        <v>132</v>
      </c>
    </row>
    <row r="5" spans="1:16" x14ac:dyDescent="0.25">
      <c r="A5">
        <v>1.5486273144177747</v>
      </c>
      <c r="B5" t="s">
        <v>69</v>
      </c>
      <c r="C5" t="s">
        <v>121</v>
      </c>
      <c r="J5" s="6" t="s">
        <v>120</v>
      </c>
      <c r="K5" s="6">
        <v>3</v>
      </c>
      <c r="L5" s="6">
        <v>3.5195415231689626</v>
      </c>
      <c r="M5" s="6">
        <v>1.1731805077229875</v>
      </c>
      <c r="N5" s="6">
        <v>9.2177030788038739E-2</v>
      </c>
    </row>
    <row r="6" spans="1:16" x14ac:dyDescent="0.25">
      <c r="A6">
        <v>1.7735613722652979</v>
      </c>
      <c r="B6" t="s">
        <v>83</v>
      </c>
      <c r="C6" t="s">
        <v>121</v>
      </c>
      <c r="J6" s="6" t="s">
        <v>121</v>
      </c>
      <c r="K6" s="6">
        <v>3</v>
      </c>
      <c r="L6" s="6">
        <v>4.4913371771273045</v>
      </c>
      <c r="M6" s="6">
        <v>1.4971123923757681</v>
      </c>
      <c r="N6" s="6">
        <v>9.3319073322556623E-2</v>
      </c>
    </row>
    <row r="7" spans="1:16" x14ac:dyDescent="0.25">
      <c r="A7">
        <v>1.1691484904442313</v>
      </c>
      <c r="B7" t="s">
        <v>89</v>
      </c>
      <c r="C7" t="s">
        <v>121</v>
      </c>
      <c r="J7" s="6" t="s">
        <v>122</v>
      </c>
      <c r="K7" s="6">
        <v>3</v>
      </c>
      <c r="L7" s="6">
        <v>3.0096728250225353</v>
      </c>
      <c r="M7" s="6">
        <v>1.0032242750075118</v>
      </c>
      <c r="N7" s="6">
        <v>3.1622494544369505E-3</v>
      </c>
    </row>
    <row r="8" spans="1:16" ht="15.75" thickBot="1" x14ac:dyDescent="0.3">
      <c r="A8">
        <v>1.0114042647073518</v>
      </c>
      <c r="B8" t="s">
        <v>95</v>
      </c>
      <c r="C8" t="s">
        <v>122</v>
      </c>
      <c r="J8" s="7" t="s">
        <v>123</v>
      </c>
      <c r="K8" s="7">
        <v>3</v>
      </c>
      <c r="L8" s="7">
        <v>3.594486042928291</v>
      </c>
      <c r="M8" s="7">
        <v>1.1981620143094303</v>
      </c>
      <c r="N8" s="7">
        <v>0.20257986155253693</v>
      </c>
    </row>
    <row r="9" spans="1:16" x14ac:dyDescent="0.25">
      <c r="A9">
        <v>1.0549201679861442</v>
      </c>
      <c r="B9" t="s">
        <v>99</v>
      </c>
      <c r="C9" t="s">
        <v>122</v>
      </c>
    </row>
    <row r="10" spans="1:16" x14ac:dyDescent="0.25">
      <c r="A10">
        <v>0.94334839232903933</v>
      </c>
      <c r="B10" t="s">
        <v>100</v>
      </c>
      <c r="C10" t="s">
        <v>122</v>
      </c>
    </row>
    <row r="11" spans="1:16" ht="15.75" thickBot="1" x14ac:dyDescent="0.3">
      <c r="A11">
        <v>0.68900923847665863</v>
      </c>
      <c r="B11" t="s">
        <v>105</v>
      </c>
      <c r="C11" t="s">
        <v>123</v>
      </c>
      <c r="J11" t="s">
        <v>133</v>
      </c>
    </row>
    <row r="12" spans="1:16" x14ac:dyDescent="0.25">
      <c r="A12">
        <v>1.3624474851916286</v>
      </c>
      <c r="B12" t="s">
        <v>108</v>
      </c>
      <c r="C12" t="s">
        <v>123</v>
      </c>
      <c r="J12" s="8" t="s">
        <v>134</v>
      </c>
      <c r="K12" s="8" t="s">
        <v>135</v>
      </c>
      <c r="L12" s="8" t="s">
        <v>136</v>
      </c>
      <c r="M12" s="8" t="s">
        <v>137</v>
      </c>
      <c r="N12" s="8" t="s">
        <v>138</v>
      </c>
      <c r="O12" s="8" t="s">
        <v>139</v>
      </c>
      <c r="P12" s="8" t="s">
        <v>140</v>
      </c>
    </row>
    <row r="13" spans="1:16" x14ac:dyDescent="0.25">
      <c r="A13">
        <v>1.5430293192600038</v>
      </c>
      <c r="B13" t="s">
        <v>109</v>
      </c>
      <c r="C13" t="s">
        <v>123</v>
      </c>
      <c r="J13" s="6" t="s">
        <v>141</v>
      </c>
      <c r="K13" s="6">
        <v>0.37930393937443285</v>
      </c>
      <c r="L13" s="6">
        <v>3</v>
      </c>
      <c r="M13" s="6">
        <v>0.12643464645814428</v>
      </c>
      <c r="N13" s="6">
        <v>1.2926615199913434</v>
      </c>
      <c r="O13" s="6">
        <v>0.34163888443650986</v>
      </c>
      <c r="P13" s="6">
        <v>4.0661805513511613</v>
      </c>
    </row>
    <row r="14" spans="1:16" x14ac:dyDescent="0.25">
      <c r="J14" s="6" t="s">
        <v>142</v>
      </c>
      <c r="K14" s="6">
        <v>0.78247643023513835</v>
      </c>
      <c r="L14" s="6">
        <v>8</v>
      </c>
      <c r="M14" s="6">
        <v>9.7809553779392294E-2</v>
      </c>
      <c r="N14" s="6"/>
      <c r="O14" s="6"/>
      <c r="P14" s="6"/>
    </row>
    <row r="15" spans="1:16" x14ac:dyDescent="0.25">
      <c r="J15" s="6"/>
      <c r="K15" s="6"/>
      <c r="L15" s="6"/>
      <c r="M15" s="6"/>
      <c r="N15" s="6"/>
      <c r="O15" s="6"/>
      <c r="P15" s="6"/>
    </row>
    <row r="16" spans="1:16" ht="15.75" thickBot="1" x14ac:dyDescent="0.3">
      <c r="J16" s="7" t="s">
        <v>143</v>
      </c>
      <c r="K16" s="7">
        <v>1.1617803696095712</v>
      </c>
      <c r="L16" s="7">
        <v>11</v>
      </c>
      <c r="M16" s="7"/>
      <c r="N16" s="7"/>
      <c r="O16" s="7"/>
      <c r="P1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45"/>
  <sheetViews>
    <sheetView tabSelected="1" topLeftCell="N1" workbookViewId="0">
      <selection activeCell="Q19" sqref="Q19"/>
    </sheetView>
  </sheetViews>
  <sheetFormatPr defaultRowHeight="15" x14ac:dyDescent="0.25"/>
  <cols>
    <col min="1" max="1" width="22.42578125" bestFit="1" customWidth="1"/>
    <col min="2" max="2" width="18.140625" bestFit="1" customWidth="1"/>
    <col min="3" max="3" width="11.140625" bestFit="1" customWidth="1"/>
    <col min="4" max="4" width="16.85546875" bestFit="1" customWidth="1"/>
    <col min="5" max="5" width="17.7109375" bestFit="1" customWidth="1"/>
    <col min="6" max="6" width="13.140625" bestFit="1" customWidth="1"/>
    <col min="7" max="7" width="17.7109375" bestFit="1" customWidth="1"/>
    <col min="8" max="8" width="17.5703125" bestFit="1" customWidth="1"/>
    <col min="9" max="9" width="26.42578125" bestFit="1" customWidth="1"/>
    <col min="10" max="10" width="22.85546875" bestFit="1" customWidth="1"/>
    <col min="11" max="11" width="21.42578125" bestFit="1" customWidth="1"/>
    <col min="12" max="12" width="18.7109375" bestFit="1" customWidth="1"/>
    <col min="13" max="13" width="21.140625" bestFit="1" customWidth="1"/>
    <col min="14" max="14" width="14.85546875" bestFit="1" customWidth="1"/>
    <col min="15" max="15" width="16.5703125" bestFit="1" customWidth="1"/>
    <col min="16" max="16" width="17.5703125" bestFit="1" customWidth="1"/>
    <col min="17" max="17" width="16.28515625" bestFit="1" customWidth="1"/>
    <col min="18" max="18" width="12.140625" bestFit="1" customWidth="1"/>
    <col min="19" max="19" width="14.28515625" bestFit="1" customWidth="1"/>
    <col min="20" max="20" width="11.28515625" bestFit="1" customWidth="1"/>
    <col min="21" max="21" width="13.7109375" customWidth="1"/>
    <col min="23" max="23" width="11" customWidth="1"/>
    <col min="24" max="24" width="11.5703125" customWidth="1"/>
  </cols>
  <sheetData>
    <row r="3" spans="1:24" x14ac:dyDescent="0.25">
      <c r="A3" s="3" t="s">
        <v>144</v>
      </c>
      <c r="B3" s="3" t="s">
        <v>115</v>
      </c>
    </row>
    <row r="4" spans="1:24" x14ac:dyDescent="0.25">
      <c r="A4" s="3" t="s">
        <v>110</v>
      </c>
      <c r="B4" t="s">
        <v>56</v>
      </c>
      <c r="C4" t="s">
        <v>81</v>
      </c>
      <c r="D4" t="s">
        <v>72</v>
      </c>
      <c r="E4" t="s">
        <v>51</v>
      </c>
      <c r="F4" t="s">
        <v>98</v>
      </c>
      <c r="G4" t="s">
        <v>78</v>
      </c>
      <c r="H4" t="s">
        <v>53</v>
      </c>
      <c r="I4" t="s">
        <v>84</v>
      </c>
      <c r="J4" t="s">
        <v>60</v>
      </c>
      <c r="K4" t="s">
        <v>63</v>
      </c>
      <c r="L4" t="s">
        <v>32</v>
      </c>
      <c r="M4" t="s">
        <v>85</v>
      </c>
      <c r="N4" t="s">
        <v>58</v>
      </c>
      <c r="O4" t="s">
        <v>88</v>
      </c>
      <c r="P4" t="s">
        <v>67</v>
      </c>
      <c r="Q4" t="s">
        <v>40</v>
      </c>
      <c r="R4" t="s">
        <v>101</v>
      </c>
      <c r="S4" t="s">
        <v>47</v>
      </c>
      <c r="T4" t="s">
        <v>111</v>
      </c>
      <c r="U4" s="9" t="s">
        <v>147</v>
      </c>
      <c r="V4" s="9" t="s">
        <v>145</v>
      </c>
      <c r="W4" s="9" t="s">
        <v>146</v>
      </c>
      <c r="X4" s="11" t="s">
        <v>148</v>
      </c>
    </row>
    <row r="5" spans="1:24" x14ac:dyDescent="0.25">
      <c r="A5" s="4" t="s">
        <v>29</v>
      </c>
      <c r="B5" s="5"/>
      <c r="C5" s="5"/>
      <c r="D5" s="5"/>
      <c r="E5" s="5">
        <v>1</v>
      </c>
      <c r="F5" s="5"/>
      <c r="G5" s="5"/>
      <c r="H5" s="5"/>
      <c r="I5" s="5"/>
      <c r="J5" s="5"/>
      <c r="K5" s="5"/>
      <c r="L5" s="5">
        <v>1</v>
      </c>
      <c r="M5" s="5"/>
      <c r="N5" s="5"/>
      <c r="O5" s="5"/>
      <c r="P5" s="5"/>
      <c r="Q5" s="5">
        <v>1</v>
      </c>
      <c r="R5" s="5"/>
      <c r="S5" s="5">
        <v>1</v>
      </c>
      <c r="T5" s="5">
        <v>4</v>
      </c>
      <c r="U5" s="10" t="str">
        <f>A5</f>
        <v>AG01</v>
      </c>
      <c r="V5" s="9">
        <f>SUM(COUNTIF(B5:S5,"&gt;0"))</f>
        <v>4</v>
      </c>
      <c r="W5" s="9">
        <f>T5</f>
        <v>4</v>
      </c>
    </row>
    <row r="6" spans="1:24" x14ac:dyDescent="0.25">
      <c r="A6" s="4" t="s">
        <v>52</v>
      </c>
      <c r="B6" s="5">
        <v>1</v>
      </c>
      <c r="C6" s="5"/>
      <c r="D6" s="5"/>
      <c r="E6" s="5"/>
      <c r="F6" s="5"/>
      <c r="G6" s="5"/>
      <c r="H6" s="5">
        <v>1</v>
      </c>
      <c r="I6" s="5"/>
      <c r="J6" s="5"/>
      <c r="K6" s="5"/>
      <c r="L6" s="5"/>
      <c r="M6" s="5"/>
      <c r="N6" s="5">
        <v>1</v>
      </c>
      <c r="O6" s="5"/>
      <c r="P6" s="5"/>
      <c r="Q6" s="5"/>
      <c r="R6" s="5"/>
      <c r="S6" s="5"/>
      <c r="T6" s="5">
        <v>3</v>
      </c>
      <c r="U6" s="10" t="str">
        <f t="shared" ref="U6:U16" si="0">A6</f>
        <v>AG02</v>
      </c>
      <c r="V6" s="9">
        <f t="shared" ref="V6:V16" si="1">SUM(COUNTIF(B6:S6,"&gt;0"))</f>
        <v>3</v>
      </c>
      <c r="W6" s="9">
        <f t="shared" ref="W6:W16" si="2">T6</f>
        <v>3</v>
      </c>
    </row>
    <row r="7" spans="1:24" x14ac:dyDescent="0.25">
      <c r="A7" s="4" t="s">
        <v>59</v>
      </c>
      <c r="B7" s="5">
        <v>1</v>
      </c>
      <c r="C7" s="5"/>
      <c r="D7" s="5"/>
      <c r="E7" s="5"/>
      <c r="F7" s="5"/>
      <c r="G7" s="5"/>
      <c r="H7" s="5"/>
      <c r="I7" s="5"/>
      <c r="J7" s="5">
        <v>2</v>
      </c>
      <c r="K7" s="5">
        <v>1</v>
      </c>
      <c r="L7" s="5"/>
      <c r="M7" s="5"/>
      <c r="N7" s="5"/>
      <c r="O7" s="5"/>
      <c r="P7" s="5">
        <v>1</v>
      </c>
      <c r="Q7" s="5">
        <v>1</v>
      </c>
      <c r="R7" s="5"/>
      <c r="S7" s="5"/>
      <c r="T7" s="5">
        <v>6</v>
      </c>
      <c r="U7" s="10" t="str">
        <f t="shared" si="0"/>
        <v>AG03</v>
      </c>
      <c r="V7" s="9">
        <f t="shared" si="1"/>
        <v>5</v>
      </c>
      <c r="W7" s="9">
        <f t="shared" si="2"/>
        <v>6</v>
      </c>
    </row>
    <row r="8" spans="1:24" x14ac:dyDescent="0.25">
      <c r="A8" s="4" t="s">
        <v>69</v>
      </c>
      <c r="B8" s="5"/>
      <c r="C8" s="5">
        <v>1</v>
      </c>
      <c r="D8" s="5">
        <v>1</v>
      </c>
      <c r="E8" s="5"/>
      <c r="F8" s="5"/>
      <c r="G8" s="5">
        <v>1</v>
      </c>
      <c r="H8" s="5">
        <v>1</v>
      </c>
      <c r="I8" s="5"/>
      <c r="J8" s="5"/>
      <c r="K8" s="5"/>
      <c r="L8" s="5"/>
      <c r="M8" s="5"/>
      <c r="N8" s="5"/>
      <c r="O8" s="5"/>
      <c r="P8" s="5">
        <v>2</v>
      </c>
      <c r="Q8" s="5">
        <v>1</v>
      </c>
      <c r="R8" s="5"/>
      <c r="S8" s="5"/>
      <c r="T8" s="5">
        <v>7</v>
      </c>
      <c r="U8" s="10" t="str">
        <f t="shared" si="0"/>
        <v>CF01</v>
      </c>
      <c r="V8" s="9">
        <f t="shared" si="1"/>
        <v>6</v>
      </c>
      <c r="W8" s="9">
        <f t="shared" si="2"/>
        <v>7</v>
      </c>
    </row>
    <row r="9" spans="1:24" x14ac:dyDescent="0.25">
      <c r="A9" s="4" t="s">
        <v>83</v>
      </c>
      <c r="B9" s="5"/>
      <c r="C9" s="5"/>
      <c r="D9" s="5"/>
      <c r="E9" s="5"/>
      <c r="F9" s="5"/>
      <c r="G9" s="5">
        <v>2</v>
      </c>
      <c r="H9" s="5"/>
      <c r="I9" s="5">
        <v>1</v>
      </c>
      <c r="J9" s="5"/>
      <c r="K9" s="5">
        <v>1</v>
      </c>
      <c r="L9" s="5"/>
      <c r="M9" s="5">
        <v>1</v>
      </c>
      <c r="N9" s="5">
        <v>1</v>
      </c>
      <c r="O9" s="5">
        <v>1</v>
      </c>
      <c r="P9" s="5"/>
      <c r="Q9" s="5"/>
      <c r="R9" s="5"/>
      <c r="S9" s="5">
        <v>2</v>
      </c>
      <c r="T9" s="5">
        <v>9</v>
      </c>
      <c r="U9" s="10" t="str">
        <f t="shared" si="0"/>
        <v>CF02</v>
      </c>
      <c r="V9" s="9">
        <f t="shared" si="1"/>
        <v>7</v>
      </c>
      <c r="W9" s="9">
        <f t="shared" si="2"/>
        <v>9</v>
      </c>
    </row>
    <row r="10" spans="1:24" x14ac:dyDescent="0.25">
      <c r="A10" s="4" t="s">
        <v>89</v>
      </c>
      <c r="B10" s="5"/>
      <c r="C10" s="5">
        <v>3</v>
      </c>
      <c r="D10" s="5"/>
      <c r="E10" s="5"/>
      <c r="F10" s="5"/>
      <c r="G10" s="5"/>
      <c r="H10" s="5">
        <v>1</v>
      </c>
      <c r="I10" s="5"/>
      <c r="J10" s="5"/>
      <c r="K10" s="5"/>
      <c r="L10" s="5"/>
      <c r="M10" s="5"/>
      <c r="N10" s="5">
        <v>1</v>
      </c>
      <c r="O10" s="5">
        <v>1</v>
      </c>
      <c r="P10" s="5">
        <v>1</v>
      </c>
      <c r="Q10" s="5"/>
      <c r="R10" s="5"/>
      <c r="S10" s="5"/>
      <c r="T10" s="5">
        <v>7</v>
      </c>
      <c r="U10" s="10" t="str">
        <f t="shared" si="0"/>
        <v>CF03</v>
      </c>
      <c r="V10" s="9">
        <f t="shared" si="1"/>
        <v>5</v>
      </c>
      <c r="W10" s="9">
        <f t="shared" si="2"/>
        <v>7</v>
      </c>
    </row>
    <row r="11" spans="1:24" x14ac:dyDescent="0.25">
      <c r="A11" s="4" t="s">
        <v>95</v>
      </c>
      <c r="B11" s="5"/>
      <c r="C11" s="5"/>
      <c r="D11" s="5">
        <v>1</v>
      </c>
      <c r="E11" s="5"/>
      <c r="F11" s="5">
        <v>1</v>
      </c>
      <c r="G11" s="5"/>
      <c r="H11" s="5"/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>
        <v>3</v>
      </c>
      <c r="U11" s="10" t="str">
        <f t="shared" si="0"/>
        <v>SE01</v>
      </c>
      <c r="V11" s="9">
        <f t="shared" si="1"/>
        <v>3</v>
      </c>
      <c r="W11" s="9">
        <f t="shared" si="2"/>
        <v>3</v>
      </c>
    </row>
    <row r="12" spans="1:24" x14ac:dyDescent="0.25">
      <c r="A12" s="4" t="s">
        <v>99</v>
      </c>
      <c r="B12" s="5"/>
      <c r="C12" s="5"/>
      <c r="D12" s="5"/>
      <c r="E12" s="5"/>
      <c r="F12" s="5"/>
      <c r="G12" s="5"/>
      <c r="H12" s="5"/>
      <c r="I12" s="5"/>
      <c r="J12" s="5">
        <v>1</v>
      </c>
      <c r="K12" s="5"/>
      <c r="L12" s="5"/>
      <c r="M12" s="5"/>
      <c r="N12" s="5"/>
      <c r="O12" s="5">
        <v>1</v>
      </c>
      <c r="P12" s="5"/>
      <c r="Q12" s="5">
        <v>1</v>
      </c>
      <c r="R12" s="5"/>
      <c r="S12" s="5"/>
      <c r="T12" s="5">
        <v>3</v>
      </c>
      <c r="U12" s="10" t="str">
        <f t="shared" si="0"/>
        <v>SE02</v>
      </c>
      <c r="V12" s="9">
        <f t="shared" si="1"/>
        <v>3</v>
      </c>
      <c r="W12" s="9">
        <f t="shared" si="2"/>
        <v>3</v>
      </c>
    </row>
    <row r="13" spans="1:24" x14ac:dyDescent="0.25">
      <c r="A13" s="4" t="s">
        <v>100</v>
      </c>
      <c r="B13" s="5"/>
      <c r="C13" s="5"/>
      <c r="D13" s="5"/>
      <c r="E13" s="5"/>
      <c r="F13" s="5"/>
      <c r="G13" s="5">
        <v>1</v>
      </c>
      <c r="H13" s="5"/>
      <c r="I13" s="5"/>
      <c r="J13" s="5"/>
      <c r="K13" s="5"/>
      <c r="L13" s="5"/>
      <c r="M13" s="5">
        <v>1</v>
      </c>
      <c r="N13" s="5"/>
      <c r="O13" s="5"/>
      <c r="P13" s="5"/>
      <c r="Q13" s="5"/>
      <c r="R13" s="5">
        <v>1</v>
      </c>
      <c r="S13" s="5"/>
      <c r="T13" s="5">
        <v>3</v>
      </c>
      <c r="U13" s="10" t="str">
        <f t="shared" si="0"/>
        <v>SE03</v>
      </c>
      <c r="V13" s="9">
        <f t="shared" si="1"/>
        <v>3</v>
      </c>
      <c r="W13" s="9">
        <f t="shared" si="2"/>
        <v>3</v>
      </c>
    </row>
    <row r="14" spans="1:24" x14ac:dyDescent="0.25">
      <c r="A14" s="4" t="s">
        <v>105</v>
      </c>
      <c r="B14" s="5"/>
      <c r="C14" s="5"/>
      <c r="D14" s="5"/>
      <c r="E14" s="5"/>
      <c r="F14" s="5"/>
      <c r="G14" s="5">
        <v>1</v>
      </c>
      <c r="H14" s="5"/>
      <c r="I14" s="5"/>
      <c r="J14" s="5"/>
      <c r="K14" s="5"/>
      <c r="L14" s="5"/>
      <c r="M14" s="5"/>
      <c r="N14" s="5"/>
      <c r="O14" s="5">
        <v>1</v>
      </c>
      <c r="P14" s="5"/>
      <c r="Q14" s="5"/>
      <c r="R14" s="5"/>
      <c r="S14" s="5"/>
      <c r="T14" s="5">
        <v>2</v>
      </c>
      <c r="U14" s="10" t="str">
        <f t="shared" si="0"/>
        <v>WL01</v>
      </c>
      <c r="V14" s="9">
        <f t="shared" si="1"/>
        <v>2</v>
      </c>
      <c r="W14" s="9">
        <f t="shared" si="2"/>
        <v>2</v>
      </c>
    </row>
    <row r="15" spans="1:24" x14ac:dyDescent="0.25">
      <c r="A15" s="4" t="s">
        <v>108</v>
      </c>
      <c r="B15" s="5">
        <v>1</v>
      </c>
      <c r="C15" s="5"/>
      <c r="D15" s="5">
        <v>1</v>
      </c>
      <c r="E15" s="5">
        <v>1</v>
      </c>
      <c r="F15" s="5"/>
      <c r="G15" s="5"/>
      <c r="H15" s="5">
        <v>1</v>
      </c>
      <c r="I15" s="5"/>
      <c r="J15" s="5"/>
      <c r="K15" s="5">
        <v>1</v>
      </c>
      <c r="L15" s="5"/>
      <c r="M15" s="5"/>
      <c r="N15" s="5"/>
      <c r="O15" s="5"/>
      <c r="P15" s="5"/>
      <c r="Q15" s="5"/>
      <c r="R15" s="5"/>
      <c r="S15" s="5"/>
      <c r="T15" s="5">
        <v>5</v>
      </c>
      <c r="U15" s="10" t="str">
        <f t="shared" si="0"/>
        <v>WL02</v>
      </c>
      <c r="V15" s="9">
        <f t="shared" si="1"/>
        <v>5</v>
      </c>
      <c r="W15" s="9">
        <f t="shared" si="2"/>
        <v>5</v>
      </c>
    </row>
    <row r="16" spans="1:24" x14ac:dyDescent="0.25">
      <c r="A16" s="4" t="s">
        <v>109</v>
      </c>
      <c r="B16" s="5"/>
      <c r="C16" s="5"/>
      <c r="D16" s="5">
        <v>1</v>
      </c>
      <c r="E16" s="5"/>
      <c r="F16" s="5"/>
      <c r="G16" s="5"/>
      <c r="H16" s="5"/>
      <c r="I16" s="5">
        <v>1</v>
      </c>
      <c r="J16" s="5">
        <v>2</v>
      </c>
      <c r="K16" s="5">
        <v>1</v>
      </c>
      <c r="L16" s="5">
        <v>1</v>
      </c>
      <c r="M16" s="5"/>
      <c r="N16" s="5"/>
      <c r="O16" s="5"/>
      <c r="P16" s="5"/>
      <c r="Q16" s="5"/>
      <c r="R16" s="5">
        <v>1</v>
      </c>
      <c r="S16" s="5"/>
      <c r="T16" s="5">
        <v>7</v>
      </c>
      <c r="U16" s="10" t="str">
        <f t="shared" si="0"/>
        <v>WL03</v>
      </c>
      <c r="V16" s="9">
        <f t="shared" si="1"/>
        <v>6</v>
      </c>
      <c r="W16" s="9">
        <f t="shared" si="2"/>
        <v>7</v>
      </c>
    </row>
    <row r="17" spans="1:21" x14ac:dyDescent="0.25">
      <c r="A17" s="4" t="s">
        <v>111</v>
      </c>
      <c r="B17" s="5">
        <v>3</v>
      </c>
      <c r="C17" s="5">
        <v>4</v>
      </c>
      <c r="D17" s="5">
        <v>4</v>
      </c>
      <c r="E17" s="5">
        <v>2</v>
      </c>
      <c r="F17" s="5">
        <v>1</v>
      </c>
      <c r="G17" s="5">
        <v>5</v>
      </c>
      <c r="H17" s="5">
        <v>4</v>
      </c>
      <c r="I17" s="5">
        <v>2</v>
      </c>
      <c r="J17" s="5">
        <v>5</v>
      </c>
      <c r="K17" s="5">
        <v>4</v>
      </c>
      <c r="L17" s="5">
        <v>3</v>
      </c>
      <c r="M17" s="5">
        <v>2</v>
      </c>
      <c r="N17" s="5">
        <v>3</v>
      </c>
      <c r="O17" s="5">
        <v>4</v>
      </c>
      <c r="P17" s="5">
        <v>4</v>
      </c>
      <c r="Q17" s="5">
        <v>4</v>
      </c>
      <c r="R17" s="5">
        <v>2</v>
      </c>
      <c r="S17" s="5">
        <v>3</v>
      </c>
      <c r="T17" s="5">
        <v>59</v>
      </c>
    </row>
    <row r="19" spans="1:21" x14ac:dyDescent="0.25">
      <c r="A19" t="str">
        <f>A5</f>
        <v>AG01</v>
      </c>
      <c r="B19">
        <f>B5/$T5</f>
        <v>0</v>
      </c>
      <c r="C19">
        <f t="shared" ref="C19:T19" si="3">C5/$T5</f>
        <v>0</v>
      </c>
      <c r="D19">
        <f t="shared" si="3"/>
        <v>0</v>
      </c>
      <c r="E19">
        <f t="shared" si="3"/>
        <v>0.25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0</v>
      </c>
      <c r="J19">
        <f t="shared" si="3"/>
        <v>0</v>
      </c>
      <c r="K19">
        <f t="shared" si="3"/>
        <v>0</v>
      </c>
      <c r="L19">
        <f t="shared" si="3"/>
        <v>0.25</v>
      </c>
      <c r="M19">
        <f t="shared" si="3"/>
        <v>0</v>
      </c>
      <c r="N19">
        <f t="shared" si="3"/>
        <v>0</v>
      </c>
      <c r="O19">
        <f t="shared" si="3"/>
        <v>0</v>
      </c>
      <c r="P19">
        <f t="shared" si="3"/>
        <v>0</v>
      </c>
      <c r="Q19">
        <f t="shared" si="3"/>
        <v>0.25</v>
      </c>
      <c r="R19">
        <f t="shared" si="3"/>
        <v>0</v>
      </c>
      <c r="S19">
        <f t="shared" si="3"/>
        <v>0.25</v>
      </c>
      <c r="T19">
        <f t="shared" si="3"/>
        <v>1</v>
      </c>
    </row>
    <row r="20" spans="1:21" x14ac:dyDescent="0.25">
      <c r="A20" t="str">
        <f t="shared" ref="A20:A33" si="4">A6</f>
        <v>AG02</v>
      </c>
      <c r="B20">
        <f t="shared" ref="B20:T20" si="5">B6/$T6</f>
        <v>0.33333333333333331</v>
      </c>
      <c r="C20">
        <f t="shared" si="5"/>
        <v>0</v>
      </c>
      <c r="D20">
        <f t="shared" si="5"/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0.33333333333333331</v>
      </c>
      <c r="I20">
        <f t="shared" si="5"/>
        <v>0</v>
      </c>
      <c r="J20">
        <f t="shared" si="5"/>
        <v>0</v>
      </c>
      <c r="K20">
        <f t="shared" si="5"/>
        <v>0</v>
      </c>
      <c r="L20">
        <f t="shared" si="5"/>
        <v>0</v>
      </c>
      <c r="M20">
        <f t="shared" si="5"/>
        <v>0</v>
      </c>
      <c r="N20">
        <f t="shared" si="5"/>
        <v>0.33333333333333331</v>
      </c>
      <c r="O20">
        <f t="shared" si="5"/>
        <v>0</v>
      </c>
      <c r="P20">
        <f t="shared" si="5"/>
        <v>0</v>
      </c>
      <c r="Q20">
        <f t="shared" si="5"/>
        <v>0</v>
      </c>
      <c r="R20">
        <f t="shared" si="5"/>
        <v>0</v>
      </c>
      <c r="S20">
        <f t="shared" si="5"/>
        <v>0</v>
      </c>
      <c r="T20">
        <f t="shared" si="5"/>
        <v>1</v>
      </c>
    </row>
    <row r="21" spans="1:21" x14ac:dyDescent="0.25">
      <c r="A21" t="str">
        <f t="shared" si="4"/>
        <v>AG03</v>
      </c>
      <c r="B21">
        <f t="shared" ref="B21:T21" si="6">B7/$T7</f>
        <v>0.16666666666666666</v>
      </c>
      <c r="C21">
        <f t="shared" si="6"/>
        <v>0</v>
      </c>
      <c r="D21">
        <f t="shared" si="6"/>
        <v>0</v>
      </c>
      <c r="E21">
        <f t="shared" si="6"/>
        <v>0</v>
      </c>
      <c r="F21">
        <f t="shared" si="6"/>
        <v>0</v>
      </c>
      <c r="G21">
        <f t="shared" si="6"/>
        <v>0</v>
      </c>
      <c r="H21">
        <f t="shared" si="6"/>
        <v>0</v>
      </c>
      <c r="I21">
        <f t="shared" si="6"/>
        <v>0</v>
      </c>
      <c r="J21">
        <f t="shared" si="6"/>
        <v>0.33333333333333331</v>
      </c>
      <c r="K21">
        <f t="shared" si="6"/>
        <v>0.16666666666666666</v>
      </c>
      <c r="L21">
        <f t="shared" si="6"/>
        <v>0</v>
      </c>
      <c r="M21">
        <f t="shared" si="6"/>
        <v>0</v>
      </c>
      <c r="N21">
        <f t="shared" si="6"/>
        <v>0</v>
      </c>
      <c r="O21">
        <f t="shared" si="6"/>
        <v>0</v>
      </c>
      <c r="P21">
        <f t="shared" si="6"/>
        <v>0.16666666666666666</v>
      </c>
      <c r="Q21">
        <f t="shared" si="6"/>
        <v>0.16666666666666666</v>
      </c>
      <c r="R21">
        <f t="shared" si="6"/>
        <v>0</v>
      </c>
      <c r="S21">
        <f t="shared" si="6"/>
        <v>0</v>
      </c>
      <c r="T21">
        <f t="shared" si="6"/>
        <v>1</v>
      </c>
    </row>
    <row r="22" spans="1:21" x14ac:dyDescent="0.25">
      <c r="A22" t="str">
        <f t="shared" si="4"/>
        <v>CF01</v>
      </c>
      <c r="B22">
        <f t="shared" ref="B22:T22" si="7">B8/$T8</f>
        <v>0</v>
      </c>
      <c r="C22">
        <f t="shared" si="7"/>
        <v>0.14285714285714285</v>
      </c>
      <c r="D22">
        <f t="shared" si="7"/>
        <v>0.14285714285714285</v>
      </c>
      <c r="E22">
        <f t="shared" si="7"/>
        <v>0</v>
      </c>
      <c r="F22">
        <f t="shared" si="7"/>
        <v>0</v>
      </c>
      <c r="G22">
        <f t="shared" si="7"/>
        <v>0.14285714285714285</v>
      </c>
      <c r="H22">
        <f t="shared" si="7"/>
        <v>0.14285714285714285</v>
      </c>
      <c r="I22">
        <f t="shared" si="7"/>
        <v>0</v>
      </c>
      <c r="J22">
        <f t="shared" si="7"/>
        <v>0</v>
      </c>
      <c r="K22">
        <f t="shared" si="7"/>
        <v>0</v>
      </c>
      <c r="L22">
        <f t="shared" si="7"/>
        <v>0</v>
      </c>
      <c r="M22">
        <f t="shared" si="7"/>
        <v>0</v>
      </c>
      <c r="N22">
        <f t="shared" si="7"/>
        <v>0</v>
      </c>
      <c r="O22">
        <f t="shared" si="7"/>
        <v>0</v>
      </c>
      <c r="P22">
        <f t="shared" si="7"/>
        <v>0.2857142857142857</v>
      </c>
      <c r="Q22">
        <f t="shared" si="7"/>
        <v>0.14285714285714285</v>
      </c>
      <c r="R22">
        <f t="shared" si="7"/>
        <v>0</v>
      </c>
      <c r="S22">
        <f t="shared" si="7"/>
        <v>0</v>
      </c>
      <c r="T22">
        <f t="shared" si="7"/>
        <v>1</v>
      </c>
    </row>
    <row r="23" spans="1:21" x14ac:dyDescent="0.25">
      <c r="A23" t="str">
        <f t="shared" si="4"/>
        <v>CF02</v>
      </c>
      <c r="B23">
        <f t="shared" ref="B23:T23" si="8">B9/$T9</f>
        <v>0</v>
      </c>
      <c r="C23">
        <f t="shared" si="8"/>
        <v>0</v>
      </c>
      <c r="D23">
        <f t="shared" si="8"/>
        <v>0</v>
      </c>
      <c r="E23">
        <f t="shared" si="8"/>
        <v>0</v>
      </c>
      <c r="F23">
        <f t="shared" si="8"/>
        <v>0</v>
      </c>
      <c r="G23">
        <f t="shared" si="8"/>
        <v>0.22222222222222221</v>
      </c>
      <c r="H23">
        <f t="shared" si="8"/>
        <v>0</v>
      </c>
      <c r="I23">
        <f t="shared" si="8"/>
        <v>0.1111111111111111</v>
      </c>
      <c r="J23">
        <f t="shared" si="8"/>
        <v>0</v>
      </c>
      <c r="K23">
        <f t="shared" si="8"/>
        <v>0.1111111111111111</v>
      </c>
      <c r="L23">
        <f t="shared" si="8"/>
        <v>0</v>
      </c>
      <c r="M23">
        <f t="shared" si="8"/>
        <v>0.1111111111111111</v>
      </c>
      <c r="N23">
        <f t="shared" si="8"/>
        <v>0.1111111111111111</v>
      </c>
      <c r="O23">
        <f t="shared" si="8"/>
        <v>0.1111111111111111</v>
      </c>
      <c r="P23">
        <f t="shared" si="8"/>
        <v>0</v>
      </c>
      <c r="Q23">
        <f t="shared" si="8"/>
        <v>0</v>
      </c>
      <c r="R23">
        <f t="shared" si="8"/>
        <v>0</v>
      </c>
      <c r="S23">
        <f t="shared" si="8"/>
        <v>0.22222222222222221</v>
      </c>
      <c r="T23">
        <f t="shared" si="8"/>
        <v>1</v>
      </c>
    </row>
    <row r="24" spans="1:21" x14ac:dyDescent="0.25">
      <c r="A24" t="str">
        <f t="shared" si="4"/>
        <v>CF03</v>
      </c>
      <c r="B24">
        <f t="shared" ref="B24:T24" si="9">B10/$T10</f>
        <v>0</v>
      </c>
      <c r="C24">
        <f t="shared" si="9"/>
        <v>0.42857142857142855</v>
      </c>
      <c r="D24">
        <f t="shared" si="9"/>
        <v>0</v>
      </c>
      <c r="E24">
        <f t="shared" si="9"/>
        <v>0</v>
      </c>
      <c r="F24">
        <f t="shared" si="9"/>
        <v>0</v>
      </c>
      <c r="G24">
        <f t="shared" si="9"/>
        <v>0</v>
      </c>
      <c r="H24">
        <f t="shared" si="9"/>
        <v>0.14285714285714285</v>
      </c>
      <c r="I24">
        <f t="shared" si="9"/>
        <v>0</v>
      </c>
      <c r="J24">
        <f t="shared" si="9"/>
        <v>0</v>
      </c>
      <c r="K24">
        <f t="shared" si="9"/>
        <v>0</v>
      </c>
      <c r="L24">
        <f t="shared" si="9"/>
        <v>0</v>
      </c>
      <c r="M24">
        <f t="shared" si="9"/>
        <v>0</v>
      </c>
      <c r="N24">
        <f t="shared" si="9"/>
        <v>0.14285714285714285</v>
      </c>
      <c r="O24">
        <f t="shared" si="9"/>
        <v>0.14285714285714285</v>
      </c>
      <c r="P24">
        <f t="shared" si="9"/>
        <v>0.14285714285714285</v>
      </c>
      <c r="Q24">
        <f t="shared" si="9"/>
        <v>0</v>
      </c>
      <c r="R24">
        <f t="shared" si="9"/>
        <v>0</v>
      </c>
      <c r="S24">
        <f t="shared" si="9"/>
        <v>0</v>
      </c>
      <c r="T24">
        <f t="shared" si="9"/>
        <v>1</v>
      </c>
    </row>
    <row r="25" spans="1:21" x14ac:dyDescent="0.25">
      <c r="A25" t="str">
        <f t="shared" si="4"/>
        <v>SE01</v>
      </c>
      <c r="B25">
        <f t="shared" ref="B25:T25" si="10">B11/$T11</f>
        <v>0</v>
      </c>
      <c r="C25">
        <f t="shared" si="10"/>
        <v>0</v>
      </c>
      <c r="D25">
        <f t="shared" si="10"/>
        <v>0.33333333333333331</v>
      </c>
      <c r="E25">
        <f t="shared" si="10"/>
        <v>0</v>
      </c>
      <c r="F25">
        <f t="shared" si="10"/>
        <v>0.33333333333333331</v>
      </c>
      <c r="G25">
        <f t="shared" si="10"/>
        <v>0</v>
      </c>
      <c r="H25">
        <f t="shared" si="10"/>
        <v>0</v>
      </c>
      <c r="I25">
        <f t="shared" si="10"/>
        <v>0</v>
      </c>
      <c r="J25">
        <f t="shared" si="10"/>
        <v>0</v>
      </c>
      <c r="K25">
        <f t="shared" si="10"/>
        <v>0</v>
      </c>
      <c r="L25">
        <f t="shared" si="10"/>
        <v>0.33333333333333331</v>
      </c>
      <c r="M25">
        <f t="shared" si="10"/>
        <v>0</v>
      </c>
      <c r="N25">
        <f t="shared" si="10"/>
        <v>0</v>
      </c>
      <c r="O25">
        <f t="shared" si="10"/>
        <v>0</v>
      </c>
      <c r="P25">
        <f t="shared" si="10"/>
        <v>0</v>
      </c>
      <c r="Q25">
        <f t="shared" si="10"/>
        <v>0</v>
      </c>
      <c r="R25">
        <f t="shared" si="10"/>
        <v>0</v>
      </c>
      <c r="S25">
        <f t="shared" si="10"/>
        <v>0</v>
      </c>
      <c r="T25">
        <f t="shared" si="10"/>
        <v>1</v>
      </c>
    </row>
    <row r="26" spans="1:21" x14ac:dyDescent="0.25">
      <c r="A26" t="str">
        <f t="shared" si="4"/>
        <v>SE02</v>
      </c>
      <c r="B26">
        <f t="shared" ref="B26:T26" si="11">B12/$T12</f>
        <v>0</v>
      </c>
      <c r="C26">
        <f t="shared" si="11"/>
        <v>0</v>
      </c>
      <c r="D26">
        <f t="shared" si="11"/>
        <v>0</v>
      </c>
      <c r="E26">
        <f t="shared" si="11"/>
        <v>0</v>
      </c>
      <c r="F26">
        <f t="shared" si="11"/>
        <v>0</v>
      </c>
      <c r="G26">
        <f t="shared" si="11"/>
        <v>0</v>
      </c>
      <c r="H26">
        <f t="shared" si="11"/>
        <v>0</v>
      </c>
      <c r="I26">
        <f t="shared" si="11"/>
        <v>0</v>
      </c>
      <c r="J26">
        <f t="shared" si="11"/>
        <v>0.33333333333333331</v>
      </c>
      <c r="K26">
        <f t="shared" si="11"/>
        <v>0</v>
      </c>
      <c r="L26">
        <f t="shared" si="11"/>
        <v>0</v>
      </c>
      <c r="M26">
        <f t="shared" si="11"/>
        <v>0</v>
      </c>
      <c r="N26">
        <f t="shared" si="11"/>
        <v>0</v>
      </c>
      <c r="O26">
        <f t="shared" si="11"/>
        <v>0.33333333333333331</v>
      </c>
      <c r="P26">
        <f t="shared" si="11"/>
        <v>0</v>
      </c>
      <c r="Q26">
        <f t="shared" si="11"/>
        <v>0.33333333333333331</v>
      </c>
      <c r="R26">
        <f t="shared" si="11"/>
        <v>0</v>
      </c>
      <c r="S26">
        <f t="shared" si="11"/>
        <v>0</v>
      </c>
      <c r="T26">
        <f t="shared" si="11"/>
        <v>1</v>
      </c>
    </row>
    <row r="27" spans="1:21" x14ac:dyDescent="0.25">
      <c r="A27" t="str">
        <f t="shared" si="4"/>
        <v>SE03</v>
      </c>
      <c r="B27">
        <f t="shared" ref="B27:T27" si="12">B13/$T13</f>
        <v>0</v>
      </c>
      <c r="C27">
        <f t="shared" si="12"/>
        <v>0</v>
      </c>
      <c r="D27">
        <f t="shared" si="12"/>
        <v>0</v>
      </c>
      <c r="E27">
        <f t="shared" si="12"/>
        <v>0</v>
      </c>
      <c r="F27">
        <f t="shared" si="12"/>
        <v>0</v>
      </c>
      <c r="G27">
        <f t="shared" si="12"/>
        <v>0.33333333333333331</v>
      </c>
      <c r="H27">
        <f t="shared" si="12"/>
        <v>0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0</v>
      </c>
      <c r="M27">
        <f t="shared" si="12"/>
        <v>0.33333333333333331</v>
      </c>
      <c r="N27">
        <f t="shared" si="12"/>
        <v>0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0.33333333333333331</v>
      </c>
      <c r="S27">
        <f t="shared" si="12"/>
        <v>0</v>
      </c>
      <c r="T27">
        <f t="shared" si="12"/>
        <v>1</v>
      </c>
    </row>
    <row r="28" spans="1:21" x14ac:dyDescent="0.25">
      <c r="A28" t="str">
        <f t="shared" si="4"/>
        <v>WL01</v>
      </c>
      <c r="B28">
        <f t="shared" ref="B28:T28" si="13">B14/$T14</f>
        <v>0</v>
      </c>
      <c r="C28">
        <f t="shared" si="13"/>
        <v>0</v>
      </c>
      <c r="D28">
        <f t="shared" si="13"/>
        <v>0</v>
      </c>
      <c r="E28">
        <f t="shared" si="13"/>
        <v>0</v>
      </c>
      <c r="F28">
        <f t="shared" si="13"/>
        <v>0</v>
      </c>
      <c r="G28">
        <f t="shared" si="13"/>
        <v>0.5</v>
      </c>
      <c r="H28">
        <f t="shared" si="13"/>
        <v>0</v>
      </c>
      <c r="I28">
        <f t="shared" si="13"/>
        <v>0</v>
      </c>
      <c r="J28">
        <f t="shared" si="13"/>
        <v>0</v>
      </c>
      <c r="K28">
        <f t="shared" si="13"/>
        <v>0</v>
      </c>
      <c r="L28">
        <f t="shared" si="13"/>
        <v>0</v>
      </c>
      <c r="M28">
        <f t="shared" si="13"/>
        <v>0</v>
      </c>
      <c r="N28">
        <f t="shared" si="13"/>
        <v>0</v>
      </c>
      <c r="O28">
        <f t="shared" si="13"/>
        <v>0.5</v>
      </c>
      <c r="P28">
        <f t="shared" si="13"/>
        <v>0</v>
      </c>
      <c r="Q28">
        <f t="shared" si="13"/>
        <v>0</v>
      </c>
      <c r="R28">
        <f t="shared" si="13"/>
        <v>0</v>
      </c>
      <c r="S28">
        <f t="shared" si="13"/>
        <v>0</v>
      </c>
      <c r="T28">
        <f t="shared" si="13"/>
        <v>1</v>
      </c>
    </row>
    <row r="29" spans="1:21" x14ac:dyDescent="0.25">
      <c r="A29" t="str">
        <f t="shared" si="4"/>
        <v>WL02</v>
      </c>
      <c r="B29">
        <f t="shared" ref="B29:T29" si="14">B15/$T15</f>
        <v>0.2</v>
      </c>
      <c r="C29">
        <f t="shared" si="14"/>
        <v>0</v>
      </c>
      <c r="D29">
        <f t="shared" si="14"/>
        <v>0.2</v>
      </c>
      <c r="E29">
        <f t="shared" si="14"/>
        <v>0.2</v>
      </c>
      <c r="F29">
        <f t="shared" si="14"/>
        <v>0</v>
      </c>
      <c r="G29">
        <f t="shared" si="14"/>
        <v>0</v>
      </c>
      <c r="H29">
        <f t="shared" si="14"/>
        <v>0.2</v>
      </c>
      <c r="I29">
        <f t="shared" si="14"/>
        <v>0</v>
      </c>
      <c r="J29">
        <f t="shared" si="14"/>
        <v>0</v>
      </c>
      <c r="K29">
        <f t="shared" si="14"/>
        <v>0.2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1</v>
      </c>
    </row>
    <row r="30" spans="1:21" x14ac:dyDescent="0.25">
      <c r="A30" t="str">
        <f t="shared" si="4"/>
        <v>WL03</v>
      </c>
      <c r="B30">
        <f t="shared" ref="B30:T30" si="15">B16/$T16</f>
        <v>0</v>
      </c>
      <c r="C30">
        <f t="shared" si="15"/>
        <v>0</v>
      </c>
      <c r="D30">
        <f t="shared" si="15"/>
        <v>0.14285714285714285</v>
      </c>
      <c r="E30">
        <f t="shared" si="15"/>
        <v>0</v>
      </c>
      <c r="F30">
        <f t="shared" si="15"/>
        <v>0</v>
      </c>
      <c r="G30">
        <f t="shared" si="15"/>
        <v>0</v>
      </c>
      <c r="H30">
        <f t="shared" si="15"/>
        <v>0</v>
      </c>
      <c r="I30">
        <f t="shared" si="15"/>
        <v>0.14285714285714285</v>
      </c>
      <c r="J30">
        <f t="shared" si="15"/>
        <v>0.2857142857142857</v>
      </c>
      <c r="K30">
        <f t="shared" si="15"/>
        <v>0.14285714285714285</v>
      </c>
      <c r="L30">
        <f t="shared" si="15"/>
        <v>0.14285714285714285</v>
      </c>
      <c r="M30">
        <f t="shared" si="15"/>
        <v>0</v>
      </c>
      <c r="N30">
        <f t="shared" si="15"/>
        <v>0</v>
      </c>
      <c r="O30">
        <f t="shared" si="15"/>
        <v>0</v>
      </c>
      <c r="P30">
        <f t="shared" si="15"/>
        <v>0</v>
      </c>
      <c r="Q30">
        <f t="shared" si="15"/>
        <v>0</v>
      </c>
      <c r="R30">
        <f t="shared" si="15"/>
        <v>0.14285714285714285</v>
      </c>
      <c r="S30">
        <f t="shared" si="15"/>
        <v>0</v>
      </c>
      <c r="T30">
        <f t="shared" si="15"/>
        <v>1</v>
      </c>
    </row>
    <row r="31" spans="1:21" x14ac:dyDescent="0.25">
      <c r="B31">
        <f t="shared" ref="B31:T31" si="16">B17/$T17</f>
        <v>5.0847457627118647E-2</v>
      </c>
      <c r="C31">
        <f t="shared" si="16"/>
        <v>6.7796610169491525E-2</v>
      </c>
      <c r="D31">
        <f t="shared" si="16"/>
        <v>6.7796610169491525E-2</v>
      </c>
      <c r="E31">
        <f t="shared" si="16"/>
        <v>3.3898305084745763E-2</v>
      </c>
      <c r="F31">
        <f t="shared" si="16"/>
        <v>1.6949152542372881E-2</v>
      </c>
      <c r="G31">
        <f t="shared" si="16"/>
        <v>8.4745762711864403E-2</v>
      </c>
      <c r="H31">
        <f t="shared" si="16"/>
        <v>6.7796610169491525E-2</v>
      </c>
      <c r="I31">
        <f t="shared" si="16"/>
        <v>3.3898305084745763E-2</v>
      </c>
      <c r="J31">
        <f t="shared" si="16"/>
        <v>8.4745762711864403E-2</v>
      </c>
      <c r="K31">
        <f t="shared" si="16"/>
        <v>6.7796610169491525E-2</v>
      </c>
      <c r="L31">
        <f t="shared" si="16"/>
        <v>5.0847457627118647E-2</v>
      </c>
      <c r="M31">
        <f t="shared" si="16"/>
        <v>3.3898305084745763E-2</v>
      </c>
      <c r="N31">
        <f t="shared" si="16"/>
        <v>5.0847457627118647E-2</v>
      </c>
      <c r="O31">
        <f t="shared" si="16"/>
        <v>6.7796610169491525E-2</v>
      </c>
      <c r="P31">
        <f t="shared" si="16"/>
        <v>6.7796610169491525E-2</v>
      </c>
      <c r="Q31">
        <f t="shared" si="16"/>
        <v>6.7796610169491525E-2</v>
      </c>
      <c r="R31">
        <f t="shared" si="16"/>
        <v>3.3898305084745763E-2</v>
      </c>
      <c r="S31">
        <f t="shared" si="16"/>
        <v>5.0847457627118647E-2</v>
      </c>
      <c r="T31">
        <f t="shared" si="16"/>
        <v>1</v>
      </c>
    </row>
    <row r="32" spans="1:21" x14ac:dyDescent="0.25">
      <c r="U32" t="s">
        <v>149</v>
      </c>
    </row>
    <row r="33" spans="1:21" x14ac:dyDescent="0.25">
      <c r="A33" t="str">
        <f>A19</f>
        <v>AG01</v>
      </c>
      <c r="B33">
        <f>SUM(IF(B19=0,0,B19*LN(B19)))</f>
        <v>0</v>
      </c>
      <c r="C33">
        <f t="shared" ref="C33:T33" si="17">SUM(IF(C19=0,0,C19*LN(C19)))</f>
        <v>0</v>
      </c>
      <c r="D33">
        <f t="shared" si="17"/>
        <v>0</v>
      </c>
      <c r="E33">
        <f t="shared" si="17"/>
        <v>-0.34657359027997264</v>
      </c>
      <c r="F33">
        <f t="shared" si="17"/>
        <v>0</v>
      </c>
      <c r="G33">
        <f t="shared" si="17"/>
        <v>0</v>
      </c>
      <c r="H33">
        <f t="shared" si="17"/>
        <v>0</v>
      </c>
      <c r="I33">
        <f t="shared" si="17"/>
        <v>0</v>
      </c>
      <c r="J33">
        <f t="shared" si="17"/>
        <v>0</v>
      </c>
      <c r="K33">
        <f t="shared" si="17"/>
        <v>0</v>
      </c>
      <c r="L33">
        <f t="shared" si="17"/>
        <v>-0.34657359027997264</v>
      </c>
      <c r="M33">
        <f t="shared" si="17"/>
        <v>0</v>
      </c>
      <c r="N33">
        <f t="shared" si="17"/>
        <v>0</v>
      </c>
      <c r="O33">
        <f t="shared" si="17"/>
        <v>0</v>
      </c>
      <c r="P33">
        <f t="shared" si="17"/>
        <v>0</v>
      </c>
      <c r="Q33">
        <f t="shared" si="17"/>
        <v>-0.34657359027997264</v>
      </c>
      <c r="R33">
        <f t="shared" si="17"/>
        <v>0</v>
      </c>
      <c r="S33">
        <f t="shared" si="17"/>
        <v>-0.34657359027997264</v>
      </c>
      <c r="U33">
        <f>-SUM(B33:S33)</f>
        <v>1.3862943611198906</v>
      </c>
    </row>
    <row r="34" spans="1:21" x14ac:dyDescent="0.25">
      <c r="A34" t="str">
        <f t="shared" ref="A34:A67" si="18">A20</f>
        <v>AG02</v>
      </c>
      <c r="B34">
        <f t="shared" ref="B34:S34" si="19">SUM(IF(B20=0,0,B20*LN(B20)))</f>
        <v>-0.36620409622270322</v>
      </c>
      <c r="C34">
        <f t="shared" si="19"/>
        <v>0</v>
      </c>
      <c r="D34">
        <f t="shared" si="19"/>
        <v>0</v>
      </c>
      <c r="E34">
        <f t="shared" si="19"/>
        <v>0</v>
      </c>
      <c r="F34">
        <f t="shared" si="19"/>
        <v>0</v>
      </c>
      <c r="G34">
        <f t="shared" si="19"/>
        <v>0</v>
      </c>
      <c r="H34">
        <f t="shared" si="19"/>
        <v>-0.36620409622270322</v>
      </c>
      <c r="I34">
        <f t="shared" si="19"/>
        <v>0</v>
      </c>
      <c r="J34">
        <f t="shared" si="19"/>
        <v>0</v>
      </c>
      <c r="K34">
        <f t="shared" si="19"/>
        <v>0</v>
      </c>
      <c r="L34">
        <f t="shared" si="19"/>
        <v>0</v>
      </c>
      <c r="M34">
        <f t="shared" si="19"/>
        <v>0</v>
      </c>
      <c r="N34">
        <f t="shared" si="19"/>
        <v>-0.36620409622270322</v>
      </c>
      <c r="O34">
        <f t="shared" si="19"/>
        <v>0</v>
      </c>
      <c r="P34">
        <f t="shared" si="19"/>
        <v>0</v>
      </c>
      <c r="Q34">
        <f t="shared" si="19"/>
        <v>0</v>
      </c>
      <c r="R34">
        <f t="shared" si="19"/>
        <v>0</v>
      </c>
      <c r="S34">
        <f t="shared" si="19"/>
        <v>0</v>
      </c>
      <c r="U34">
        <f t="shared" ref="U34:U45" si="20">-SUM(B34:S34)</f>
        <v>1.0986122886681096</v>
      </c>
    </row>
    <row r="35" spans="1:21" x14ac:dyDescent="0.25">
      <c r="A35" t="str">
        <f t="shared" si="18"/>
        <v>AG03</v>
      </c>
      <c r="B35">
        <f t="shared" ref="B35:S35" si="21">SUM(IF(B21=0,0,B21*LN(B21)))</f>
        <v>-0.29862657820467581</v>
      </c>
      <c r="C35">
        <f t="shared" si="21"/>
        <v>0</v>
      </c>
      <c r="D35">
        <f t="shared" si="21"/>
        <v>0</v>
      </c>
      <c r="E35">
        <f t="shared" si="21"/>
        <v>0</v>
      </c>
      <c r="F35">
        <f t="shared" si="21"/>
        <v>0</v>
      </c>
      <c r="G35">
        <f t="shared" si="21"/>
        <v>0</v>
      </c>
      <c r="H35">
        <f t="shared" si="21"/>
        <v>0</v>
      </c>
      <c r="I35">
        <f t="shared" si="21"/>
        <v>0</v>
      </c>
      <c r="J35">
        <f t="shared" si="21"/>
        <v>-0.36620409622270322</v>
      </c>
      <c r="K35">
        <f t="shared" si="21"/>
        <v>-0.29862657820467581</v>
      </c>
      <c r="L35">
        <f t="shared" si="21"/>
        <v>0</v>
      </c>
      <c r="M35">
        <f t="shared" si="21"/>
        <v>0</v>
      </c>
      <c r="N35">
        <f t="shared" si="21"/>
        <v>0</v>
      </c>
      <c r="O35">
        <f t="shared" si="21"/>
        <v>0</v>
      </c>
      <c r="P35">
        <f t="shared" si="21"/>
        <v>-0.29862657820467581</v>
      </c>
      <c r="Q35">
        <f t="shared" si="21"/>
        <v>-0.29862657820467581</v>
      </c>
      <c r="R35">
        <f t="shared" si="21"/>
        <v>0</v>
      </c>
      <c r="S35">
        <f t="shared" si="21"/>
        <v>0</v>
      </c>
      <c r="U35">
        <f t="shared" si="20"/>
        <v>1.5607104090414063</v>
      </c>
    </row>
    <row r="36" spans="1:21" x14ac:dyDescent="0.25">
      <c r="A36" t="str">
        <f t="shared" si="18"/>
        <v>CF01</v>
      </c>
      <c r="B36">
        <f t="shared" ref="B36:S36" si="22">SUM(IF(B22=0,0,B22*LN(B22)))</f>
        <v>0</v>
      </c>
      <c r="C36">
        <f t="shared" si="22"/>
        <v>-0.27798716415075903</v>
      </c>
      <c r="D36">
        <f t="shared" si="22"/>
        <v>-0.27798716415075903</v>
      </c>
      <c r="E36">
        <f t="shared" si="22"/>
        <v>0</v>
      </c>
      <c r="F36">
        <f t="shared" si="22"/>
        <v>0</v>
      </c>
      <c r="G36">
        <f t="shared" si="22"/>
        <v>-0.27798716415075903</v>
      </c>
      <c r="H36">
        <f t="shared" si="22"/>
        <v>-0.27798716415075903</v>
      </c>
      <c r="I36">
        <f t="shared" si="22"/>
        <v>0</v>
      </c>
      <c r="J36">
        <f t="shared" si="22"/>
        <v>0</v>
      </c>
      <c r="K36">
        <f t="shared" si="22"/>
        <v>0</v>
      </c>
      <c r="L36">
        <f t="shared" si="22"/>
        <v>0</v>
      </c>
      <c r="M36">
        <f t="shared" si="22"/>
        <v>0</v>
      </c>
      <c r="N36">
        <f t="shared" si="22"/>
        <v>0</v>
      </c>
      <c r="O36">
        <f t="shared" si="22"/>
        <v>0</v>
      </c>
      <c r="P36">
        <f t="shared" si="22"/>
        <v>-0.35793227671296229</v>
      </c>
      <c r="Q36">
        <f t="shared" si="22"/>
        <v>-0.27798716415075903</v>
      </c>
      <c r="R36">
        <f t="shared" si="22"/>
        <v>0</v>
      </c>
      <c r="S36">
        <f t="shared" si="22"/>
        <v>0</v>
      </c>
      <c r="U36">
        <f t="shared" si="20"/>
        <v>1.7478680974667573</v>
      </c>
    </row>
    <row r="37" spans="1:21" x14ac:dyDescent="0.25">
      <c r="A37" t="str">
        <f t="shared" si="18"/>
        <v>CF02</v>
      </c>
      <c r="B37">
        <f t="shared" ref="B37:S37" si="23">SUM(IF(B23=0,0,B23*LN(B23)))</f>
        <v>0</v>
      </c>
      <c r="C37">
        <f t="shared" si="23"/>
        <v>0</v>
      </c>
      <c r="D37">
        <f t="shared" si="23"/>
        <v>0</v>
      </c>
      <c r="E37">
        <f t="shared" si="23"/>
        <v>0</v>
      </c>
      <c r="F37">
        <f t="shared" si="23"/>
        <v>0</v>
      </c>
      <c r="G37">
        <f t="shared" si="23"/>
        <v>-0.33423942150583869</v>
      </c>
      <c r="H37">
        <f t="shared" si="23"/>
        <v>0</v>
      </c>
      <c r="I37">
        <f t="shared" si="23"/>
        <v>-0.24413606414846883</v>
      </c>
      <c r="J37">
        <f t="shared" si="23"/>
        <v>0</v>
      </c>
      <c r="K37">
        <f t="shared" si="23"/>
        <v>-0.24413606414846883</v>
      </c>
      <c r="L37">
        <f t="shared" si="23"/>
        <v>0</v>
      </c>
      <c r="M37">
        <f t="shared" si="23"/>
        <v>-0.24413606414846883</v>
      </c>
      <c r="N37">
        <f t="shared" si="23"/>
        <v>-0.24413606414846883</v>
      </c>
      <c r="O37">
        <f t="shared" si="23"/>
        <v>-0.24413606414846883</v>
      </c>
      <c r="P37">
        <f t="shared" si="23"/>
        <v>0</v>
      </c>
      <c r="Q37">
        <f t="shared" si="23"/>
        <v>0</v>
      </c>
      <c r="R37">
        <f t="shared" si="23"/>
        <v>0</v>
      </c>
      <c r="S37">
        <f t="shared" si="23"/>
        <v>-0.33423942150583869</v>
      </c>
      <c r="U37">
        <f t="shared" si="20"/>
        <v>1.8891591637540217</v>
      </c>
    </row>
    <row r="38" spans="1:21" x14ac:dyDescent="0.25">
      <c r="A38" t="str">
        <f t="shared" si="18"/>
        <v>CF03</v>
      </c>
      <c r="B38">
        <f t="shared" ref="B38:S38" si="24">SUM(IF(B24=0,0,B24*LN(B24)))</f>
        <v>0</v>
      </c>
      <c r="C38">
        <f t="shared" si="24"/>
        <v>-0.36312765445165868</v>
      </c>
      <c r="D38">
        <f t="shared" si="24"/>
        <v>0</v>
      </c>
      <c r="E38">
        <f t="shared" si="24"/>
        <v>0</v>
      </c>
      <c r="F38">
        <f t="shared" si="24"/>
        <v>0</v>
      </c>
      <c r="G38">
        <f t="shared" si="24"/>
        <v>0</v>
      </c>
      <c r="H38">
        <f t="shared" si="24"/>
        <v>-0.27798716415075903</v>
      </c>
      <c r="I38">
        <f t="shared" si="24"/>
        <v>0</v>
      </c>
      <c r="J38">
        <f t="shared" si="24"/>
        <v>0</v>
      </c>
      <c r="K38">
        <f t="shared" si="24"/>
        <v>0</v>
      </c>
      <c r="L38">
        <f t="shared" si="24"/>
        <v>0</v>
      </c>
      <c r="M38">
        <f t="shared" si="24"/>
        <v>0</v>
      </c>
      <c r="N38">
        <f t="shared" si="24"/>
        <v>-0.27798716415075903</v>
      </c>
      <c r="O38">
        <f t="shared" si="24"/>
        <v>-0.27798716415075903</v>
      </c>
      <c r="P38">
        <f t="shared" si="24"/>
        <v>-0.27798716415075903</v>
      </c>
      <c r="Q38">
        <f t="shared" si="24"/>
        <v>0</v>
      </c>
      <c r="R38">
        <f t="shared" si="24"/>
        <v>0</v>
      </c>
      <c r="S38">
        <f t="shared" si="24"/>
        <v>0</v>
      </c>
      <c r="U38">
        <f t="shared" si="20"/>
        <v>1.4750763110546947</v>
      </c>
    </row>
    <row r="39" spans="1:21" x14ac:dyDescent="0.25">
      <c r="A39" t="str">
        <f t="shared" si="18"/>
        <v>SE01</v>
      </c>
      <c r="B39">
        <f t="shared" ref="B39:S39" si="25">SUM(IF(B25=0,0,B25*LN(B25)))</f>
        <v>0</v>
      </c>
      <c r="C39">
        <f t="shared" si="25"/>
        <v>0</v>
      </c>
      <c r="D39">
        <f t="shared" si="25"/>
        <v>-0.36620409622270322</v>
      </c>
      <c r="E39">
        <f t="shared" si="25"/>
        <v>0</v>
      </c>
      <c r="F39">
        <f t="shared" si="25"/>
        <v>-0.36620409622270322</v>
      </c>
      <c r="G39">
        <f t="shared" si="25"/>
        <v>0</v>
      </c>
      <c r="H39">
        <f t="shared" si="25"/>
        <v>0</v>
      </c>
      <c r="I39">
        <f t="shared" si="25"/>
        <v>0</v>
      </c>
      <c r="J39">
        <f t="shared" si="25"/>
        <v>0</v>
      </c>
      <c r="K39">
        <f t="shared" si="25"/>
        <v>0</v>
      </c>
      <c r="L39">
        <f t="shared" si="25"/>
        <v>-0.36620409622270322</v>
      </c>
      <c r="M39">
        <f t="shared" si="25"/>
        <v>0</v>
      </c>
      <c r="N39">
        <f t="shared" si="25"/>
        <v>0</v>
      </c>
      <c r="O39">
        <f t="shared" si="25"/>
        <v>0</v>
      </c>
      <c r="P39">
        <f t="shared" si="25"/>
        <v>0</v>
      </c>
      <c r="Q39">
        <f t="shared" si="25"/>
        <v>0</v>
      </c>
      <c r="R39">
        <f t="shared" si="25"/>
        <v>0</v>
      </c>
      <c r="S39">
        <f t="shared" si="25"/>
        <v>0</v>
      </c>
      <c r="U39">
        <f t="shared" si="20"/>
        <v>1.0986122886681096</v>
      </c>
    </row>
    <row r="40" spans="1:21" x14ac:dyDescent="0.25">
      <c r="A40" t="str">
        <f t="shared" si="18"/>
        <v>SE02</v>
      </c>
      <c r="B40">
        <f t="shared" ref="B40:S40" si="26">SUM(IF(B26=0,0,B26*LN(B26)))</f>
        <v>0</v>
      </c>
      <c r="C40">
        <f t="shared" si="26"/>
        <v>0</v>
      </c>
      <c r="D40">
        <f t="shared" si="26"/>
        <v>0</v>
      </c>
      <c r="E40">
        <f t="shared" si="26"/>
        <v>0</v>
      </c>
      <c r="F40">
        <f t="shared" si="26"/>
        <v>0</v>
      </c>
      <c r="G40">
        <f t="shared" si="26"/>
        <v>0</v>
      </c>
      <c r="H40">
        <f t="shared" si="26"/>
        <v>0</v>
      </c>
      <c r="I40">
        <f t="shared" si="26"/>
        <v>0</v>
      </c>
      <c r="J40">
        <f t="shared" si="26"/>
        <v>-0.36620409622270322</v>
      </c>
      <c r="K40">
        <f t="shared" si="26"/>
        <v>0</v>
      </c>
      <c r="L40">
        <f t="shared" si="26"/>
        <v>0</v>
      </c>
      <c r="M40">
        <f t="shared" si="26"/>
        <v>0</v>
      </c>
      <c r="N40">
        <f t="shared" si="26"/>
        <v>0</v>
      </c>
      <c r="O40">
        <f t="shared" si="26"/>
        <v>-0.36620409622270322</v>
      </c>
      <c r="P40">
        <f t="shared" si="26"/>
        <v>0</v>
      </c>
      <c r="Q40">
        <f t="shared" si="26"/>
        <v>-0.36620409622270322</v>
      </c>
      <c r="R40">
        <f t="shared" si="26"/>
        <v>0</v>
      </c>
      <c r="S40">
        <f t="shared" si="26"/>
        <v>0</v>
      </c>
      <c r="U40">
        <f t="shared" si="20"/>
        <v>1.0986122886681096</v>
      </c>
    </row>
    <row r="41" spans="1:21" x14ac:dyDescent="0.25">
      <c r="A41" t="str">
        <f t="shared" si="18"/>
        <v>SE03</v>
      </c>
      <c r="B41">
        <f t="shared" ref="B41:S41" si="27">SUM(IF(B27=0,0,B27*LN(B27)))</f>
        <v>0</v>
      </c>
      <c r="C41">
        <f t="shared" si="27"/>
        <v>0</v>
      </c>
      <c r="D41">
        <f t="shared" si="27"/>
        <v>0</v>
      </c>
      <c r="E41">
        <f t="shared" si="27"/>
        <v>0</v>
      </c>
      <c r="F41">
        <f t="shared" si="27"/>
        <v>0</v>
      </c>
      <c r="G41">
        <f t="shared" si="27"/>
        <v>-0.36620409622270322</v>
      </c>
      <c r="H41">
        <f t="shared" si="27"/>
        <v>0</v>
      </c>
      <c r="I41">
        <f t="shared" si="27"/>
        <v>0</v>
      </c>
      <c r="J41">
        <f t="shared" si="27"/>
        <v>0</v>
      </c>
      <c r="K41">
        <f t="shared" si="27"/>
        <v>0</v>
      </c>
      <c r="L41">
        <f t="shared" si="27"/>
        <v>0</v>
      </c>
      <c r="M41">
        <f t="shared" si="27"/>
        <v>-0.36620409622270322</v>
      </c>
      <c r="N41">
        <f t="shared" si="27"/>
        <v>0</v>
      </c>
      <c r="O41">
        <f t="shared" si="27"/>
        <v>0</v>
      </c>
      <c r="P41">
        <f t="shared" si="27"/>
        <v>0</v>
      </c>
      <c r="Q41">
        <f t="shared" si="27"/>
        <v>0</v>
      </c>
      <c r="R41">
        <f t="shared" si="27"/>
        <v>-0.36620409622270322</v>
      </c>
      <c r="S41">
        <f t="shared" si="27"/>
        <v>0</v>
      </c>
      <c r="U41">
        <f t="shared" si="20"/>
        <v>1.0986122886681096</v>
      </c>
    </row>
    <row r="42" spans="1:21" x14ac:dyDescent="0.25">
      <c r="A42" t="str">
        <f t="shared" si="18"/>
        <v>WL01</v>
      </c>
      <c r="B42">
        <f t="shared" ref="B42:S42" si="28">SUM(IF(B28=0,0,B28*LN(B28)))</f>
        <v>0</v>
      </c>
      <c r="C42">
        <f t="shared" si="28"/>
        <v>0</v>
      </c>
      <c r="D42">
        <f t="shared" si="28"/>
        <v>0</v>
      </c>
      <c r="E42">
        <f t="shared" si="28"/>
        <v>0</v>
      </c>
      <c r="F42">
        <f t="shared" si="28"/>
        <v>0</v>
      </c>
      <c r="G42">
        <f t="shared" si="28"/>
        <v>-0.34657359027997264</v>
      </c>
      <c r="H42">
        <f t="shared" si="28"/>
        <v>0</v>
      </c>
      <c r="I42">
        <f t="shared" si="28"/>
        <v>0</v>
      </c>
      <c r="J42">
        <f t="shared" si="28"/>
        <v>0</v>
      </c>
      <c r="K42">
        <f t="shared" si="28"/>
        <v>0</v>
      </c>
      <c r="L42">
        <f t="shared" si="28"/>
        <v>0</v>
      </c>
      <c r="M42">
        <f t="shared" si="28"/>
        <v>0</v>
      </c>
      <c r="N42">
        <f t="shared" si="28"/>
        <v>0</v>
      </c>
      <c r="O42">
        <f t="shared" si="28"/>
        <v>-0.34657359027997264</v>
      </c>
      <c r="P42">
        <f t="shared" si="28"/>
        <v>0</v>
      </c>
      <c r="Q42">
        <f t="shared" si="28"/>
        <v>0</v>
      </c>
      <c r="R42">
        <f t="shared" si="28"/>
        <v>0</v>
      </c>
      <c r="S42">
        <f t="shared" si="28"/>
        <v>0</v>
      </c>
      <c r="U42">
        <f t="shared" si="20"/>
        <v>0.69314718055994529</v>
      </c>
    </row>
    <row r="43" spans="1:21" x14ac:dyDescent="0.25">
      <c r="A43" t="str">
        <f t="shared" si="18"/>
        <v>WL02</v>
      </c>
      <c r="B43">
        <f t="shared" ref="B43:S43" si="29">SUM(IF(B29=0,0,B29*LN(B29)))</f>
        <v>-0.32188758248682009</v>
      </c>
      <c r="C43">
        <f t="shared" si="29"/>
        <v>0</v>
      </c>
      <c r="D43">
        <f t="shared" si="29"/>
        <v>-0.32188758248682009</v>
      </c>
      <c r="E43">
        <f t="shared" si="29"/>
        <v>-0.32188758248682009</v>
      </c>
      <c r="F43">
        <f t="shared" si="29"/>
        <v>0</v>
      </c>
      <c r="G43">
        <f t="shared" si="29"/>
        <v>0</v>
      </c>
      <c r="H43">
        <f t="shared" si="29"/>
        <v>-0.32188758248682009</v>
      </c>
      <c r="I43">
        <f t="shared" si="29"/>
        <v>0</v>
      </c>
      <c r="J43">
        <f t="shared" si="29"/>
        <v>0</v>
      </c>
      <c r="K43">
        <f t="shared" si="29"/>
        <v>-0.32188758248682009</v>
      </c>
      <c r="L43">
        <f t="shared" si="29"/>
        <v>0</v>
      </c>
      <c r="M43">
        <f t="shared" si="29"/>
        <v>0</v>
      </c>
      <c r="N43">
        <f t="shared" si="29"/>
        <v>0</v>
      </c>
      <c r="O43">
        <f t="shared" si="29"/>
        <v>0</v>
      </c>
      <c r="P43">
        <f t="shared" si="29"/>
        <v>0</v>
      </c>
      <c r="Q43">
        <f t="shared" si="29"/>
        <v>0</v>
      </c>
      <c r="R43">
        <f t="shared" si="29"/>
        <v>0</v>
      </c>
      <c r="S43">
        <f t="shared" si="29"/>
        <v>0</v>
      </c>
      <c r="U43">
        <f t="shared" si="20"/>
        <v>1.6094379124341005</v>
      </c>
    </row>
    <row r="44" spans="1:21" x14ac:dyDescent="0.25">
      <c r="A44" t="str">
        <f t="shared" si="18"/>
        <v>WL03</v>
      </c>
      <c r="B44">
        <f t="shared" ref="B44:S44" si="30">SUM(IF(B30=0,0,B30*LN(B30)))</f>
        <v>0</v>
      </c>
      <c r="C44">
        <f t="shared" si="30"/>
        <v>0</v>
      </c>
      <c r="D44">
        <f t="shared" si="30"/>
        <v>-0.27798716415075903</v>
      </c>
      <c r="E44">
        <f t="shared" si="30"/>
        <v>0</v>
      </c>
      <c r="F44">
        <f t="shared" si="30"/>
        <v>0</v>
      </c>
      <c r="G44">
        <f t="shared" si="30"/>
        <v>0</v>
      </c>
      <c r="H44">
        <f t="shared" si="30"/>
        <v>0</v>
      </c>
      <c r="I44">
        <f t="shared" si="30"/>
        <v>-0.27798716415075903</v>
      </c>
      <c r="J44">
        <f t="shared" si="30"/>
        <v>-0.35793227671296229</v>
      </c>
      <c r="K44">
        <f t="shared" si="30"/>
        <v>-0.27798716415075903</v>
      </c>
      <c r="L44">
        <f t="shared" si="30"/>
        <v>-0.27798716415075903</v>
      </c>
      <c r="M44">
        <f t="shared" si="30"/>
        <v>0</v>
      </c>
      <c r="N44">
        <f t="shared" si="30"/>
        <v>0</v>
      </c>
      <c r="O44">
        <f t="shared" si="30"/>
        <v>0</v>
      </c>
      <c r="P44">
        <f t="shared" si="30"/>
        <v>0</v>
      </c>
      <c r="Q44">
        <f t="shared" si="30"/>
        <v>0</v>
      </c>
      <c r="R44">
        <f t="shared" si="30"/>
        <v>-0.27798716415075903</v>
      </c>
      <c r="S44">
        <f t="shared" si="30"/>
        <v>0</v>
      </c>
      <c r="U44">
        <f t="shared" si="20"/>
        <v>1.7478680974667573</v>
      </c>
    </row>
    <row r="45" spans="1:21" x14ac:dyDescent="0.25">
      <c r="A45">
        <f t="shared" si="18"/>
        <v>0</v>
      </c>
      <c r="B45">
        <f t="shared" ref="B45:S45" si="31">SUM(IF(B31=0,0,B31*LN(B31)))</f>
        <v>-0.1514707706053022</v>
      </c>
      <c r="C45">
        <f t="shared" si="31"/>
        <v>-0.18245715815497146</v>
      </c>
      <c r="D45">
        <f t="shared" si="31"/>
        <v>-0.18245715815497146</v>
      </c>
      <c r="E45">
        <f t="shared" si="31"/>
        <v>-0.11472509367273812</v>
      </c>
      <c r="F45">
        <f t="shared" si="31"/>
        <v>-6.9110804133995243E-2</v>
      </c>
      <c r="G45">
        <f t="shared" si="31"/>
        <v>-0.20916097724335755</v>
      </c>
      <c r="H45">
        <f t="shared" si="31"/>
        <v>-0.18245715815497146</v>
      </c>
      <c r="I45">
        <f t="shared" si="31"/>
        <v>-0.11472509367273812</v>
      </c>
      <c r="J45">
        <f t="shared" si="31"/>
        <v>-0.20916097724335755</v>
      </c>
      <c r="K45">
        <f t="shared" si="31"/>
        <v>-0.18245715815497146</v>
      </c>
      <c r="L45">
        <f t="shared" si="31"/>
        <v>-0.1514707706053022</v>
      </c>
      <c r="M45">
        <f t="shared" si="31"/>
        <v>-0.11472509367273812</v>
      </c>
      <c r="N45">
        <f t="shared" si="31"/>
        <v>-0.1514707706053022</v>
      </c>
      <c r="O45">
        <f t="shared" si="31"/>
        <v>-0.18245715815497146</v>
      </c>
      <c r="P45">
        <f t="shared" si="31"/>
        <v>-0.18245715815497146</v>
      </c>
      <c r="Q45">
        <f t="shared" si="31"/>
        <v>-0.18245715815497146</v>
      </c>
      <c r="R45">
        <f t="shared" si="31"/>
        <v>-0.11472509367273812</v>
      </c>
      <c r="S45">
        <f t="shared" si="31"/>
        <v>-0.1514707706053022</v>
      </c>
      <c r="U45">
        <f t="shared" si="20"/>
        <v>2.8294163228176723</v>
      </c>
    </row>
  </sheetData>
  <pageMargins left="0.7" right="0.7" top="0.75" bottom="0.75" header="0.3" footer="0.3"/>
  <pageSetup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"/>
  <sheetViews>
    <sheetView workbookViewId="0">
      <selection activeCell="D1" sqref="D1"/>
    </sheetView>
  </sheetViews>
  <sheetFormatPr defaultRowHeight="15" x14ac:dyDescent="0.25"/>
  <cols>
    <col min="5" max="5" width="15.71093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 s="1">
        <v>46299</v>
      </c>
      <c r="C2" s="2">
        <v>0.33611111111111108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8</v>
      </c>
      <c r="J2" t="s">
        <v>34</v>
      </c>
      <c r="K2" t="s">
        <v>34</v>
      </c>
      <c r="L2" t="s">
        <v>35</v>
      </c>
      <c r="M2">
        <v>27.6631</v>
      </c>
      <c r="N2">
        <v>85.386200000000002</v>
      </c>
      <c r="O2">
        <v>1375</v>
      </c>
      <c r="P2">
        <v>20.5</v>
      </c>
      <c r="Q2">
        <v>68.5</v>
      </c>
      <c r="R2">
        <v>24.7</v>
      </c>
      <c r="S2">
        <v>40.200000000000003</v>
      </c>
      <c r="T2">
        <v>39.6</v>
      </c>
      <c r="U2">
        <v>6.9</v>
      </c>
      <c r="V2" t="s">
        <v>36</v>
      </c>
      <c r="W2">
        <v>0.5</v>
      </c>
      <c r="X2">
        <v>0.63</v>
      </c>
      <c r="Y2">
        <v>11</v>
      </c>
      <c r="Z2">
        <v>7</v>
      </c>
      <c r="AA2" t="s">
        <v>37</v>
      </c>
      <c r="AB2" t="s">
        <v>38</v>
      </c>
      <c r="AC2">
        <v>5.5</v>
      </c>
    </row>
    <row r="3" spans="1:29" x14ac:dyDescent="0.25">
      <c r="A3">
        <v>2</v>
      </c>
      <c r="B3" s="1">
        <v>46333</v>
      </c>
      <c r="C3" s="2">
        <v>0.41180555555555554</v>
      </c>
      <c r="D3" t="s">
        <v>29</v>
      </c>
      <c r="E3" t="s">
        <v>30</v>
      </c>
      <c r="F3" t="s">
        <v>39</v>
      </c>
      <c r="G3" t="s">
        <v>40</v>
      </c>
      <c r="H3" t="s">
        <v>41</v>
      </c>
      <c r="I3">
        <v>7</v>
      </c>
      <c r="J3" t="s">
        <v>42</v>
      </c>
      <c r="K3" t="s">
        <v>43</v>
      </c>
      <c r="L3" t="s">
        <v>44</v>
      </c>
      <c r="M3">
        <v>27.6631</v>
      </c>
      <c r="N3">
        <v>85.386200000000002</v>
      </c>
      <c r="O3">
        <v>1375</v>
      </c>
      <c r="P3">
        <v>24.8</v>
      </c>
      <c r="Q3">
        <v>77.7</v>
      </c>
      <c r="R3">
        <v>86.7</v>
      </c>
      <c r="S3">
        <v>45.4</v>
      </c>
      <c r="T3">
        <v>33.799999999999997</v>
      </c>
      <c r="U3">
        <v>6.7</v>
      </c>
      <c r="V3" t="s">
        <v>36</v>
      </c>
      <c r="W3">
        <v>0.08</v>
      </c>
      <c r="X3">
        <v>0.36</v>
      </c>
      <c r="Y3">
        <v>9</v>
      </c>
      <c r="Z3">
        <v>3</v>
      </c>
      <c r="AA3" t="s">
        <v>37</v>
      </c>
      <c r="AB3" t="s">
        <v>45</v>
      </c>
      <c r="AC3">
        <v>6.3</v>
      </c>
    </row>
    <row r="4" spans="1:29" x14ac:dyDescent="0.25">
      <c r="A4">
        <v>3</v>
      </c>
      <c r="B4" t="s">
        <v>46</v>
      </c>
      <c r="C4" s="2">
        <v>0.34722222222222227</v>
      </c>
      <c r="D4" t="s">
        <v>29</v>
      </c>
      <c r="E4" t="s">
        <v>30</v>
      </c>
      <c r="F4" t="s">
        <v>31</v>
      </c>
      <c r="G4" t="s">
        <v>47</v>
      </c>
      <c r="H4" t="s">
        <v>48</v>
      </c>
      <c r="I4">
        <v>1</v>
      </c>
      <c r="J4" t="s">
        <v>34</v>
      </c>
      <c r="K4" t="s">
        <v>34</v>
      </c>
      <c r="L4" t="s">
        <v>49</v>
      </c>
      <c r="M4">
        <v>27.6631</v>
      </c>
      <c r="N4">
        <v>85.386200000000002</v>
      </c>
      <c r="O4">
        <v>1375</v>
      </c>
      <c r="P4">
        <v>20.5</v>
      </c>
      <c r="Q4">
        <v>68.5</v>
      </c>
      <c r="R4">
        <v>24.7</v>
      </c>
      <c r="S4">
        <v>40.200000000000003</v>
      </c>
      <c r="T4">
        <v>39.6</v>
      </c>
      <c r="U4">
        <v>6.9</v>
      </c>
      <c r="V4" t="s">
        <v>36</v>
      </c>
      <c r="W4">
        <v>0.5</v>
      </c>
      <c r="X4">
        <v>0.63</v>
      </c>
      <c r="Y4">
        <v>11</v>
      </c>
      <c r="Z4">
        <v>7</v>
      </c>
      <c r="AA4" t="s">
        <v>37</v>
      </c>
      <c r="AB4" t="s">
        <v>38</v>
      </c>
      <c r="AC4">
        <v>5.5</v>
      </c>
    </row>
    <row r="5" spans="1:29" x14ac:dyDescent="0.25">
      <c r="A5">
        <v>4</v>
      </c>
      <c r="B5" t="s">
        <v>50</v>
      </c>
      <c r="C5" s="2">
        <v>0.48819444444444443</v>
      </c>
      <c r="D5" t="s">
        <v>29</v>
      </c>
      <c r="E5" t="s">
        <v>30</v>
      </c>
      <c r="F5" t="s">
        <v>31</v>
      </c>
      <c r="G5" t="s">
        <v>51</v>
      </c>
      <c r="H5" t="s">
        <v>48</v>
      </c>
      <c r="I5">
        <v>5</v>
      </c>
      <c r="J5" t="s">
        <v>34</v>
      </c>
      <c r="K5" t="s">
        <v>34</v>
      </c>
      <c r="L5" t="s">
        <v>49</v>
      </c>
      <c r="M5">
        <v>27.6631</v>
      </c>
      <c r="N5">
        <v>85.386200000000002</v>
      </c>
      <c r="O5">
        <v>1375</v>
      </c>
      <c r="P5">
        <v>20.5</v>
      </c>
      <c r="Q5">
        <v>68.5</v>
      </c>
      <c r="R5">
        <v>24.7</v>
      </c>
      <c r="S5">
        <v>40.200000000000003</v>
      </c>
      <c r="T5">
        <v>39.6</v>
      </c>
      <c r="U5">
        <v>6.9</v>
      </c>
      <c r="V5" t="s">
        <v>36</v>
      </c>
      <c r="W5">
        <v>0.5</v>
      </c>
      <c r="X5">
        <v>0.63</v>
      </c>
      <c r="Y5">
        <v>11</v>
      </c>
      <c r="Z5">
        <v>7</v>
      </c>
      <c r="AA5" t="s">
        <v>37</v>
      </c>
      <c r="AB5" t="s">
        <v>38</v>
      </c>
      <c r="AC5">
        <v>5.5</v>
      </c>
    </row>
    <row r="6" spans="1:29" x14ac:dyDescent="0.25">
      <c r="A6">
        <v>5</v>
      </c>
      <c r="B6" s="1">
        <v>46330</v>
      </c>
      <c r="C6" s="2">
        <v>0.45416666666666666</v>
      </c>
      <c r="D6" t="s">
        <v>52</v>
      </c>
      <c r="E6" t="s">
        <v>30</v>
      </c>
      <c r="F6" t="s">
        <v>31</v>
      </c>
      <c r="G6" t="s">
        <v>53</v>
      </c>
      <c r="H6" t="s">
        <v>48</v>
      </c>
      <c r="I6">
        <v>2</v>
      </c>
      <c r="J6" t="s">
        <v>34</v>
      </c>
      <c r="K6" t="s">
        <v>34</v>
      </c>
      <c r="L6" t="s">
        <v>49</v>
      </c>
      <c r="M6">
        <v>27.657800000000002</v>
      </c>
      <c r="N6">
        <v>85.397099999999995</v>
      </c>
      <c r="O6">
        <v>1412</v>
      </c>
      <c r="P6">
        <v>23.6</v>
      </c>
      <c r="Q6">
        <v>62.2</v>
      </c>
      <c r="R6">
        <v>42</v>
      </c>
      <c r="S6">
        <v>45.1</v>
      </c>
      <c r="T6">
        <v>27.2</v>
      </c>
      <c r="U6">
        <v>6.2</v>
      </c>
      <c r="V6" t="s">
        <v>54</v>
      </c>
      <c r="W6">
        <v>0.3</v>
      </c>
      <c r="X6">
        <v>0.69</v>
      </c>
      <c r="Y6">
        <v>5</v>
      </c>
      <c r="Z6">
        <v>1</v>
      </c>
      <c r="AA6" t="s">
        <v>37</v>
      </c>
      <c r="AB6" t="s">
        <v>45</v>
      </c>
      <c r="AC6">
        <v>6.7</v>
      </c>
    </row>
    <row r="7" spans="1:29" x14ac:dyDescent="0.25">
      <c r="A7">
        <v>6</v>
      </c>
      <c r="B7" t="s">
        <v>55</v>
      </c>
      <c r="C7" s="2">
        <v>0.31666666666666665</v>
      </c>
      <c r="D7" t="s">
        <v>52</v>
      </c>
      <c r="E7" t="s">
        <v>30</v>
      </c>
      <c r="F7" t="s">
        <v>39</v>
      </c>
      <c r="G7" t="s">
        <v>56</v>
      </c>
      <c r="H7" t="s">
        <v>41</v>
      </c>
      <c r="I7">
        <v>1</v>
      </c>
      <c r="J7" t="s">
        <v>34</v>
      </c>
      <c r="K7" t="s">
        <v>43</v>
      </c>
      <c r="L7" t="s">
        <v>44</v>
      </c>
      <c r="M7">
        <v>27.657800000000002</v>
      </c>
      <c r="N7">
        <v>85.397099999999995</v>
      </c>
      <c r="O7">
        <v>1412</v>
      </c>
      <c r="P7">
        <v>25.8</v>
      </c>
      <c r="Q7">
        <v>83.6</v>
      </c>
      <c r="R7">
        <v>146.19999999999999</v>
      </c>
      <c r="S7">
        <v>52.5</v>
      </c>
      <c r="T7">
        <v>25.1</v>
      </c>
      <c r="U7">
        <v>6.7</v>
      </c>
      <c r="V7" t="s">
        <v>36</v>
      </c>
      <c r="W7">
        <v>0.21</v>
      </c>
      <c r="X7">
        <v>0.4</v>
      </c>
      <c r="Y7">
        <v>10</v>
      </c>
      <c r="Z7">
        <v>2</v>
      </c>
      <c r="AA7" t="s">
        <v>37</v>
      </c>
      <c r="AB7" t="s">
        <v>38</v>
      </c>
      <c r="AC7">
        <v>6.2</v>
      </c>
    </row>
    <row r="8" spans="1:29" x14ac:dyDescent="0.25">
      <c r="A8">
        <v>7</v>
      </c>
      <c r="B8" t="s">
        <v>57</v>
      </c>
      <c r="C8" s="2">
        <v>0.33611111111111108</v>
      </c>
      <c r="D8" t="s">
        <v>52</v>
      </c>
      <c r="E8" t="s">
        <v>30</v>
      </c>
      <c r="F8" t="s">
        <v>39</v>
      </c>
      <c r="G8" t="s">
        <v>58</v>
      </c>
      <c r="H8" t="s">
        <v>48</v>
      </c>
      <c r="I8">
        <v>6</v>
      </c>
      <c r="J8" t="s">
        <v>34</v>
      </c>
      <c r="K8" t="s">
        <v>34</v>
      </c>
      <c r="L8" t="s">
        <v>49</v>
      </c>
      <c r="M8">
        <v>27.657800000000002</v>
      </c>
      <c r="N8">
        <v>85.397099999999995</v>
      </c>
      <c r="O8">
        <v>1412</v>
      </c>
      <c r="P8">
        <v>25.8</v>
      </c>
      <c r="Q8">
        <v>83.6</v>
      </c>
      <c r="R8">
        <v>146.19999999999999</v>
      </c>
      <c r="S8">
        <v>52.5</v>
      </c>
      <c r="T8">
        <v>25.1</v>
      </c>
      <c r="U8">
        <v>6.7</v>
      </c>
      <c r="V8" t="s">
        <v>36</v>
      </c>
      <c r="W8">
        <v>0.21</v>
      </c>
      <c r="X8">
        <v>0.4</v>
      </c>
      <c r="Y8">
        <v>10</v>
      </c>
      <c r="Z8">
        <v>2</v>
      </c>
      <c r="AA8" t="s">
        <v>37</v>
      </c>
      <c r="AB8" t="s">
        <v>38</v>
      </c>
      <c r="AC8">
        <v>6.2</v>
      </c>
    </row>
    <row r="9" spans="1:29" x14ac:dyDescent="0.25">
      <c r="A9">
        <v>8</v>
      </c>
      <c r="B9" s="1">
        <v>46299</v>
      </c>
      <c r="C9" s="2">
        <v>0.31666666666666665</v>
      </c>
      <c r="D9" t="s">
        <v>59</v>
      </c>
      <c r="E9" t="s">
        <v>30</v>
      </c>
      <c r="F9" t="s">
        <v>31</v>
      </c>
      <c r="G9" t="s">
        <v>60</v>
      </c>
      <c r="H9" t="s">
        <v>61</v>
      </c>
      <c r="I9">
        <v>6</v>
      </c>
      <c r="J9" t="s">
        <v>42</v>
      </c>
      <c r="K9" t="s">
        <v>43</v>
      </c>
      <c r="L9" t="s">
        <v>62</v>
      </c>
      <c r="M9">
        <v>27.671500000000002</v>
      </c>
      <c r="N9">
        <v>85.401799999999994</v>
      </c>
      <c r="O9">
        <v>1390</v>
      </c>
      <c r="P9">
        <v>19.600000000000001</v>
      </c>
      <c r="Q9">
        <v>59.4</v>
      </c>
      <c r="R9">
        <v>41.6</v>
      </c>
      <c r="S9">
        <v>49</v>
      </c>
      <c r="T9">
        <v>26.9</v>
      </c>
      <c r="U9">
        <v>7.6</v>
      </c>
      <c r="V9" t="s">
        <v>36</v>
      </c>
      <c r="W9">
        <v>0.22</v>
      </c>
      <c r="X9">
        <v>0.46</v>
      </c>
      <c r="Y9">
        <v>11</v>
      </c>
      <c r="Z9">
        <v>3</v>
      </c>
      <c r="AA9" t="s">
        <v>37</v>
      </c>
      <c r="AB9" t="s">
        <v>45</v>
      </c>
      <c r="AC9">
        <v>5.9</v>
      </c>
    </row>
    <row r="10" spans="1:29" x14ac:dyDescent="0.25">
      <c r="A10">
        <v>9</v>
      </c>
      <c r="B10" s="1">
        <v>46363</v>
      </c>
      <c r="C10" s="2">
        <v>0.62430555555555556</v>
      </c>
      <c r="D10" t="s">
        <v>59</v>
      </c>
      <c r="E10" t="s">
        <v>30</v>
      </c>
      <c r="F10" t="s">
        <v>39</v>
      </c>
      <c r="G10" t="s">
        <v>63</v>
      </c>
      <c r="H10" t="s">
        <v>61</v>
      </c>
      <c r="I10">
        <v>3</v>
      </c>
      <c r="J10" t="s">
        <v>42</v>
      </c>
      <c r="K10" t="s">
        <v>43</v>
      </c>
      <c r="L10" t="s">
        <v>62</v>
      </c>
      <c r="M10">
        <v>27.671500000000002</v>
      </c>
      <c r="N10">
        <v>85.401799999999994</v>
      </c>
      <c r="O10">
        <v>1390</v>
      </c>
      <c r="P10">
        <v>25.8</v>
      </c>
      <c r="Q10">
        <v>70</v>
      </c>
      <c r="R10">
        <v>118.9</v>
      </c>
      <c r="S10">
        <v>57.3</v>
      </c>
      <c r="T10">
        <v>30.3</v>
      </c>
      <c r="U10">
        <v>7</v>
      </c>
      <c r="V10" t="s">
        <v>54</v>
      </c>
      <c r="W10">
        <v>0.43</v>
      </c>
      <c r="X10">
        <v>0.5</v>
      </c>
      <c r="Y10">
        <v>3</v>
      </c>
      <c r="Z10">
        <v>3</v>
      </c>
      <c r="AA10" t="s">
        <v>37</v>
      </c>
      <c r="AB10" t="s">
        <v>45</v>
      </c>
      <c r="AC10">
        <v>5.3</v>
      </c>
    </row>
    <row r="11" spans="1:29" x14ac:dyDescent="0.25">
      <c r="A11">
        <v>10</v>
      </c>
      <c r="B11" t="s">
        <v>55</v>
      </c>
      <c r="C11" s="2">
        <v>0.29097222222222224</v>
      </c>
      <c r="D11" t="s">
        <v>59</v>
      </c>
      <c r="E11" t="s">
        <v>30</v>
      </c>
      <c r="F11" t="s">
        <v>39</v>
      </c>
      <c r="G11" t="s">
        <v>56</v>
      </c>
      <c r="H11" t="s">
        <v>41</v>
      </c>
      <c r="I11">
        <v>1</v>
      </c>
      <c r="J11" t="s">
        <v>42</v>
      </c>
      <c r="K11" t="s">
        <v>64</v>
      </c>
      <c r="L11" t="s">
        <v>44</v>
      </c>
      <c r="M11">
        <v>27.671500000000002</v>
      </c>
      <c r="N11">
        <v>85.401799999999994</v>
      </c>
      <c r="O11">
        <v>1390</v>
      </c>
      <c r="P11">
        <v>25.8</v>
      </c>
      <c r="Q11">
        <v>70</v>
      </c>
      <c r="R11">
        <v>118.9</v>
      </c>
      <c r="S11">
        <v>57.3</v>
      </c>
      <c r="T11">
        <v>30.3</v>
      </c>
      <c r="U11">
        <v>7</v>
      </c>
      <c r="V11" t="s">
        <v>54</v>
      </c>
      <c r="W11">
        <v>0.43</v>
      </c>
      <c r="X11">
        <v>0.5</v>
      </c>
      <c r="Y11">
        <v>3</v>
      </c>
      <c r="Z11">
        <v>3</v>
      </c>
      <c r="AA11" t="s">
        <v>37</v>
      </c>
      <c r="AB11" t="s">
        <v>45</v>
      </c>
      <c r="AC11">
        <v>5.3</v>
      </c>
    </row>
    <row r="12" spans="1:29" x14ac:dyDescent="0.25">
      <c r="A12">
        <v>11</v>
      </c>
      <c r="B12" t="s">
        <v>65</v>
      </c>
      <c r="C12" s="2">
        <v>0.2722222222222222</v>
      </c>
      <c r="D12" t="s">
        <v>59</v>
      </c>
      <c r="E12" t="s">
        <v>30</v>
      </c>
      <c r="F12" t="s">
        <v>66</v>
      </c>
      <c r="G12" t="s">
        <v>67</v>
      </c>
      <c r="H12" t="s">
        <v>41</v>
      </c>
      <c r="I12">
        <v>3</v>
      </c>
      <c r="J12" t="s">
        <v>34</v>
      </c>
      <c r="K12" t="s">
        <v>34</v>
      </c>
      <c r="L12" t="s">
        <v>44</v>
      </c>
      <c r="M12">
        <v>27.671500000000002</v>
      </c>
      <c r="N12">
        <v>85.401799999999994</v>
      </c>
      <c r="O12">
        <v>1390</v>
      </c>
      <c r="P12">
        <v>20.3</v>
      </c>
      <c r="Q12">
        <v>67.900000000000006</v>
      </c>
      <c r="R12">
        <v>65.2</v>
      </c>
      <c r="S12">
        <v>49.6</v>
      </c>
      <c r="T12">
        <v>30.4</v>
      </c>
      <c r="U12">
        <v>4.2</v>
      </c>
      <c r="V12" t="s">
        <v>54</v>
      </c>
      <c r="W12">
        <v>0.56999999999999995</v>
      </c>
      <c r="X12">
        <v>0.42</v>
      </c>
      <c r="Y12">
        <v>7</v>
      </c>
      <c r="Z12">
        <v>5</v>
      </c>
      <c r="AA12" t="s">
        <v>37</v>
      </c>
      <c r="AB12" t="s">
        <v>45</v>
      </c>
      <c r="AC12">
        <v>6.3</v>
      </c>
    </row>
    <row r="13" spans="1:29" x14ac:dyDescent="0.25">
      <c r="A13">
        <v>12</v>
      </c>
      <c r="B13" t="s">
        <v>57</v>
      </c>
      <c r="C13" s="2">
        <v>0.26458333333333334</v>
      </c>
      <c r="D13" t="s">
        <v>59</v>
      </c>
      <c r="E13" t="s">
        <v>30</v>
      </c>
      <c r="F13" t="s">
        <v>39</v>
      </c>
      <c r="G13" t="s">
        <v>40</v>
      </c>
      <c r="H13" t="s">
        <v>41</v>
      </c>
      <c r="I13">
        <v>3</v>
      </c>
      <c r="J13" t="s">
        <v>42</v>
      </c>
      <c r="K13" t="s">
        <v>43</v>
      </c>
      <c r="L13" t="s">
        <v>44</v>
      </c>
      <c r="M13">
        <v>27.671500000000002</v>
      </c>
      <c r="N13">
        <v>85.401799999999994</v>
      </c>
      <c r="O13">
        <v>1390</v>
      </c>
      <c r="P13">
        <v>25.8</v>
      </c>
      <c r="Q13">
        <v>70</v>
      </c>
      <c r="R13">
        <v>118.9</v>
      </c>
      <c r="S13">
        <v>57.3</v>
      </c>
      <c r="T13">
        <v>30.3</v>
      </c>
      <c r="U13">
        <v>7</v>
      </c>
      <c r="V13" t="s">
        <v>54</v>
      </c>
      <c r="W13">
        <v>0.43</v>
      </c>
      <c r="X13">
        <v>0.5</v>
      </c>
      <c r="Y13">
        <v>3</v>
      </c>
      <c r="Z13">
        <v>3</v>
      </c>
      <c r="AA13" t="s">
        <v>37</v>
      </c>
      <c r="AB13" t="s">
        <v>45</v>
      </c>
      <c r="AC13">
        <v>5.3</v>
      </c>
    </row>
    <row r="14" spans="1:29" x14ac:dyDescent="0.25">
      <c r="A14">
        <v>13</v>
      </c>
      <c r="B14" t="s">
        <v>57</v>
      </c>
      <c r="C14" s="2">
        <v>0.26180555555555557</v>
      </c>
      <c r="D14" t="s">
        <v>59</v>
      </c>
      <c r="E14" t="s">
        <v>30</v>
      </c>
      <c r="F14" t="s">
        <v>39</v>
      </c>
      <c r="G14" t="s">
        <v>60</v>
      </c>
      <c r="H14" t="s">
        <v>61</v>
      </c>
      <c r="I14">
        <v>1</v>
      </c>
      <c r="J14" t="s">
        <v>34</v>
      </c>
      <c r="K14" t="s">
        <v>43</v>
      </c>
      <c r="L14" t="s">
        <v>62</v>
      </c>
      <c r="M14">
        <v>27.671500000000002</v>
      </c>
      <c r="N14">
        <v>85.401799999999994</v>
      </c>
      <c r="O14">
        <v>1390</v>
      </c>
      <c r="P14">
        <v>25.8</v>
      </c>
      <c r="Q14">
        <v>70</v>
      </c>
      <c r="R14">
        <v>118.9</v>
      </c>
      <c r="S14">
        <v>57.3</v>
      </c>
      <c r="T14">
        <v>30.3</v>
      </c>
      <c r="U14">
        <v>7</v>
      </c>
      <c r="V14" t="s">
        <v>54</v>
      </c>
      <c r="W14">
        <v>0.43</v>
      </c>
      <c r="X14">
        <v>0.5</v>
      </c>
      <c r="Y14">
        <v>3</v>
      </c>
      <c r="Z14">
        <v>3</v>
      </c>
      <c r="AA14" t="s">
        <v>37</v>
      </c>
      <c r="AB14" t="s">
        <v>45</v>
      </c>
      <c r="AC14">
        <v>5.3</v>
      </c>
    </row>
    <row r="15" spans="1:29" x14ac:dyDescent="0.25">
      <c r="A15">
        <v>14</v>
      </c>
      <c r="B15" t="s">
        <v>68</v>
      </c>
      <c r="C15" s="2">
        <v>0.67013888888888884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>
        <v>1</v>
      </c>
      <c r="J15" t="s">
        <v>42</v>
      </c>
      <c r="K15" t="s">
        <v>34</v>
      </c>
      <c r="L15" t="s">
        <v>62</v>
      </c>
      <c r="M15">
        <v>27.6812</v>
      </c>
      <c r="N15">
        <v>85.334100000000007</v>
      </c>
      <c r="O15">
        <v>1540</v>
      </c>
      <c r="P15">
        <v>15.3</v>
      </c>
      <c r="Q15">
        <v>60.2</v>
      </c>
      <c r="R15">
        <v>7.7</v>
      </c>
      <c r="S15">
        <v>65.7</v>
      </c>
      <c r="T15">
        <v>75.400000000000006</v>
      </c>
      <c r="U15">
        <v>6.1</v>
      </c>
      <c r="V15" t="s">
        <v>54</v>
      </c>
      <c r="W15">
        <v>0.77</v>
      </c>
      <c r="X15">
        <v>2.06</v>
      </c>
      <c r="Y15">
        <v>1</v>
      </c>
      <c r="Z15">
        <v>1</v>
      </c>
      <c r="AA15" t="s">
        <v>74</v>
      </c>
      <c r="AB15" t="s">
        <v>38</v>
      </c>
      <c r="AC15">
        <v>1.4</v>
      </c>
    </row>
    <row r="16" spans="1:29" x14ac:dyDescent="0.25">
      <c r="A16">
        <v>15</v>
      </c>
      <c r="B16" t="s">
        <v>75</v>
      </c>
      <c r="C16" s="2">
        <v>0.47222222222222227</v>
      </c>
      <c r="D16" t="s">
        <v>69</v>
      </c>
      <c r="E16" t="s">
        <v>70</v>
      </c>
      <c r="F16" t="s">
        <v>39</v>
      </c>
      <c r="G16" t="s">
        <v>53</v>
      </c>
      <c r="H16" t="s">
        <v>48</v>
      </c>
      <c r="I16">
        <v>7</v>
      </c>
      <c r="J16" t="s">
        <v>34</v>
      </c>
      <c r="K16" t="s">
        <v>34</v>
      </c>
      <c r="L16" t="s">
        <v>49</v>
      </c>
      <c r="M16">
        <v>27.6812</v>
      </c>
      <c r="N16">
        <v>85.334100000000007</v>
      </c>
      <c r="O16">
        <v>1540</v>
      </c>
      <c r="P16">
        <v>24.7</v>
      </c>
      <c r="Q16">
        <v>74.900000000000006</v>
      </c>
      <c r="R16">
        <v>119.5</v>
      </c>
      <c r="S16">
        <v>79.099999999999994</v>
      </c>
      <c r="T16">
        <v>69.099999999999994</v>
      </c>
      <c r="U16">
        <v>8.1</v>
      </c>
      <c r="V16" t="s">
        <v>54</v>
      </c>
      <c r="W16">
        <v>0.61</v>
      </c>
      <c r="X16">
        <v>1.93</v>
      </c>
      <c r="Y16">
        <v>5</v>
      </c>
      <c r="Z16">
        <v>0</v>
      </c>
      <c r="AA16" t="s">
        <v>74</v>
      </c>
      <c r="AB16" t="s">
        <v>38</v>
      </c>
      <c r="AC16">
        <v>2.2999999999999998</v>
      </c>
    </row>
    <row r="17" spans="1:29" x14ac:dyDescent="0.25">
      <c r="A17">
        <v>16</v>
      </c>
      <c r="B17" t="s">
        <v>76</v>
      </c>
      <c r="C17" s="2">
        <v>0.51944444444444449</v>
      </c>
      <c r="D17" t="s">
        <v>69</v>
      </c>
      <c r="E17" t="s">
        <v>70</v>
      </c>
      <c r="F17" t="s">
        <v>31</v>
      </c>
      <c r="G17" t="s">
        <v>67</v>
      </c>
      <c r="H17" t="s">
        <v>41</v>
      </c>
      <c r="I17">
        <v>5</v>
      </c>
      <c r="J17" t="s">
        <v>77</v>
      </c>
      <c r="K17" t="s">
        <v>43</v>
      </c>
      <c r="L17" t="s">
        <v>44</v>
      </c>
      <c r="M17">
        <v>27.6812</v>
      </c>
      <c r="N17">
        <v>85.334100000000007</v>
      </c>
      <c r="O17">
        <v>1540</v>
      </c>
      <c r="P17">
        <v>20.9</v>
      </c>
      <c r="Q17">
        <v>67.900000000000006</v>
      </c>
      <c r="R17">
        <v>50.6</v>
      </c>
      <c r="S17">
        <v>73.8</v>
      </c>
      <c r="T17">
        <v>70.400000000000006</v>
      </c>
      <c r="U17">
        <v>8.9</v>
      </c>
      <c r="V17" t="s">
        <v>36</v>
      </c>
      <c r="W17">
        <v>0.85</v>
      </c>
      <c r="X17">
        <v>1.44</v>
      </c>
      <c r="Y17">
        <v>2</v>
      </c>
      <c r="Z17">
        <v>1</v>
      </c>
      <c r="AA17" t="s">
        <v>74</v>
      </c>
      <c r="AB17" t="s">
        <v>38</v>
      </c>
      <c r="AC17">
        <v>2.2000000000000002</v>
      </c>
    </row>
    <row r="18" spans="1:29" x14ac:dyDescent="0.25">
      <c r="A18">
        <v>17</v>
      </c>
      <c r="B18" t="s">
        <v>46</v>
      </c>
      <c r="C18" s="2">
        <v>0.57222222222222219</v>
      </c>
      <c r="D18" t="s">
        <v>69</v>
      </c>
      <c r="E18" t="s">
        <v>70</v>
      </c>
      <c r="F18" t="s">
        <v>31</v>
      </c>
      <c r="G18" t="s">
        <v>78</v>
      </c>
      <c r="H18" t="s">
        <v>41</v>
      </c>
      <c r="I18">
        <v>4</v>
      </c>
      <c r="J18" t="s">
        <v>77</v>
      </c>
      <c r="K18" t="s">
        <v>43</v>
      </c>
      <c r="L18" t="s">
        <v>44</v>
      </c>
      <c r="M18">
        <v>27.6812</v>
      </c>
      <c r="N18">
        <v>85.334100000000007</v>
      </c>
      <c r="O18">
        <v>1540</v>
      </c>
      <c r="P18">
        <v>20.9</v>
      </c>
      <c r="Q18">
        <v>67.900000000000006</v>
      </c>
      <c r="R18">
        <v>50.6</v>
      </c>
      <c r="S18">
        <v>73.8</v>
      </c>
      <c r="T18">
        <v>70.400000000000006</v>
      </c>
      <c r="U18">
        <v>8.9</v>
      </c>
      <c r="V18" t="s">
        <v>36</v>
      </c>
      <c r="W18">
        <v>0.85</v>
      </c>
      <c r="X18">
        <v>1.44</v>
      </c>
      <c r="Y18">
        <v>2</v>
      </c>
      <c r="Z18">
        <v>1</v>
      </c>
      <c r="AA18" t="s">
        <v>74</v>
      </c>
      <c r="AB18" t="s">
        <v>38</v>
      </c>
      <c r="AC18">
        <v>2.2000000000000002</v>
      </c>
    </row>
    <row r="19" spans="1:29" x14ac:dyDescent="0.25">
      <c r="A19">
        <v>18</v>
      </c>
      <c r="B19" t="s">
        <v>79</v>
      </c>
      <c r="C19" s="2">
        <v>0.26874999999999999</v>
      </c>
      <c r="D19" t="s">
        <v>69</v>
      </c>
      <c r="E19" t="s">
        <v>70</v>
      </c>
      <c r="F19" t="s">
        <v>71</v>
      </c>
      <c r="G19" t="s">
        <v>67</v>
      </c>
      <c r="H19" t="s">
        <v>41</v>
      </c>
      <c r="I19">
        <v>3</v>
      </c>
      <c r="J19" t="s">
        <v>77</v>
      </c>
      <c r="K19" t="s">
        <v>34</v>
      </c>
      <c r="L19" t="s">
        <v>44</v>
      </c>
      <c r="M19">
        <v>27.6812</v>
      </c>
      <c r="N19">
        <v>85.334100000000007</v>
      </c>
      <c r="O19">
        <v>1540</v>
      </c>
      <c r="P19">
        <v>15.3</v>
      </c>
      <c r="Q19">
        <v>60.2</v>
      </c>
      <c r="R19">
        <v>7.7</v>
      </c>
      <c r="S19">
        <v>65.7</v>
      </c>
      <c r="T19">
        <v>75.400000000000006</v>
      </c>
      <c r="U19">
        <v>6.1</v>
      </c>
      <c r="V19" t="s">
        <v>54</v>
      </c>
      <c r="W19">
        <v>0.77</v>
      </c>
      <c r="X19">
        <v>2.06</v>
      </c>
      <c r="Y19">
        <v>1</v>
      </c>
      <c r="Z19">
        <v>1</v>
      </c>
      <c r="AA19" t="s">
        <v>74</v>
      </c>
      <c r="AB19" t="s">
        <v>38</v>
      </c>
      <c r="AC19">
        <v>1.4</v>
      </c>
    </row>
    <row r="20" spans="1:29" x14ac:dyDescent="0.25">
      <c r="A20">
        <v>19</v>
      </c>
      <c r="B20" t="s">
        <v>80</v>
      </c>
      <c r="C20" s="2">
        <v>0.25486111111111109</v>
      </c>
      <c r="D20" t="s">
        <v>69</v>
      </c>
      <c r="E20" t="s">
        <v>70</v>
      </c>
      <c r="F20" t="s">
        <v>31</v>
      </c>
      <c r="G20" t="s">
        <v>81</v>
      </c>
      <c r="H20" t="s">
        <v>33</v>
      </c>
      <c r="I20">
        <v>9</v>
      </c>
      <c r="J20" t="s">
        <v>34</v>
      </c>
      <c r="K20" t="s">
        <v>34</v>
      </c>
      <c r="L20" t="s">
        <v>35</v>
      </c>
      <c r="M20">
        <v>27.6812</v>
      </c>
      <c r="N20">
        <v>85.334100000000007</v>
      </c>
      <c r="O20">
        <v>1540</v>
      </c>
      <c r="P20">
        <v>20.9</v>
      </c>
      <c r="Q20">
        <v>67.900000000000006</v>
      </c>
      <c r="R20">
        <v>50.6</v>
      </c>
      <c r="S20">
        <v>73.8</v>
      </c>
      <c r="T20">
        <v>70.400000000000006</v>
      </c>
      <c r="U20">
        <v>8.9</v>
      </c>
      <c r="V20" t="s">
        <v>36</v>
      </c>
      <c r="W20">
        <v>0.85</v>
      </c>
      <c r="X20">
        <v>1.44</v>
      </c>
      <c r="Y20">
        <v>2</v>
      </c>
      <c r="Z20">
        <v>1</v>
      </c>
      <c r="AA20" t="s">
        <v>74</v>
      </c>
      <c r="AB20" t="s">
        <v>38</v>
      </c>
      <c r="AC20">
        <v>2.2000000000000002</v>
      </c>
    </row>
    <row r="21" spans="1:29" x14ac:dyDescent="0.25">
      <c r="A21">
        <v>20</v>
      </c>
      <c r="B21" t="s">
        <v>82</v>
      </c>
      <c r="C21" s="2">
        <v>0.71736111111111101</v>
      </c>
      <c r="D21" t="s">
        <v>69</v>
      </c>
      <c r="E21" t="s">
        <v>70</v>
      </c>
      <c r="F21" t="s">
        <v>71</v>
      </c>
      <c r="G21" t="s">
        <v>40</v>
      </c>
      <c r="H21" t="s">
        <v>41</v>
      </c>
      <c r="I21">
        <v>1</v>
      </c>
      <c r="J21" t="s">
        <v>42</v>
      </c>
      <c r="K21" t="s">
        <v>34</v>
      </c>
      <c r="L21" t="s">
        <v>44</v>
      </c>
      <c r="M21">
        <v>27.6812</v>
      </c>
      <c r="N21">
        <v>85.334100000000007</v>
      </c>
      <c r="O21">
        <v>1540</v>
      </c>
      <c r="P21">
        <v>15.3</v>
      </c>
      <c r="Q21">
        <v>60.2</v>
      </c>
      <c r="R21">
        <v>7.7</v>
      </c>
      <c r="S21">
        <v>65.7</v>
      </c>
      <c r="T21">
        <v>75.400000000000006</v>
      </c>
      <c r="U21">
        <v>6.1</v>
      </c>
      <c r="V21" t="s">
        <v>54</v>
      </c>
      <c r="W21">
        <v>0.77</v>
      </c>
      <c r="X21">
        <v>2.06</v>
      </c>
      <c r="Y21">
        <v>1</v>
      </c>
      <c r="Z21">
        <v>1</v>
      </c>
      <c r="AA21" t="s">
        <v>74</v>
      </c>
      <c r="AB21" t="s">
        <v>38</v>
      </c>
      <c r="AC21">
        <v>1.4</v>
      </c>
    </row>
    <row r="22" spans="1:29" x14ac:dyDescent="0.25">
      <c r="A22">
        <v>21</v>
      </c>
      <c r="B22" s="1">
        <v>46661</v>
      </c>
      <c r="C22" s="2">
        <v>0.56458333333333333</v>
      </c>
      <c r="D22" t="s">
        <v>83</v>
      </c>
      <c r="E22" t="s">
        <v>70</v>
      </c>
      <c r="F22" t="s">
        <v>71</v>
      </c>
      <c r="G22" t="s">
        <v>84</v>
      </c>
      <c r="H22" t="s">
        <v>61</v>
      </c>
      <c r="I22">
        <v>1</v>
      </c>
      <c r="J22" t="s">
        <v>34</v>
      </c>
      <c r="K22" t="s">
        <v>43</v>
      </c>
      <c r="L22" t="s">
        <v>62</v>
      </c>
      <c r="M22">
        <v>27.674800000000001</v>
      </c>
      <c r="N22">
        <v>85.347200000000001</v>
      </c>
      <c r="O22">
        <v>1585</v>
      </c>
      <c r="P22">
        <v>13.6</v>
      </c>
      <c r="Q22">
        <v>55.9</v>
      </c>
      <c r="R22">
        <v>15.2</v>
      </c>
      <c r="S22">
        <v>82.8</v>
      </c>
      <c r="T22">
        <v>80.8</v>
      </c>
      <c r="U22">
        <v>7.7</v>
      </c>
      <c r="V22" t="s">
        <v>54</v>
      </c>
      <c r="W22">
        <v>0.72</v>
      </c>
      <c r="X22">
        <v>1.71</v>
      </c>
      <c r="Y22">
        <v>4</v>
      </c>
      <c r="Z22">
        <v>0</v>
      </c>
      <c r="AA22" t="s">
        <v>74</v>
      </c>
      <c r="AB22" t="s">
        <v>45</v>
      </c>
      <c r="AC22">
        <v>1.8</v>
      </c>
    </row>
    <row r="23" spans="1:29" x14ac:dyDescent="0.25">
      <c r="A23">
        <v>22</v>
      </c>
      <c r="B23" s="1">
        <v>46299</v>
      </c>
      <c r="C23" s="2">
        <v>0.60833333333333328</v>
      </c>
      <c r="D23" t="s">
        <v>83</v>
      </c>
      <c r="E23" t="s">
        <v>70</v>
      </c>
      <c r="F23" t="s">
        <v>31</v>
      </c>
      <c r="G23" t="s">
        <v>78</v>
      </c>
      <c r="H23" t="s">
        <v>41</v>
      </c>
      <c r="I23">
        <v>7</v>
      </c>
      <c r="J23" t="s">
        <v>77</v>
      </c>
      <c r="K23" t="s">
        <v>43</v>
      </c>
      <c r="L23" t="s">
        <v>44</v>
      </c>
      <c r="M23">
        <v>27.674800000000001</v>
      </c>
      <c r="N23">
        <v>85.347200000000001</v>
      </c>
      <c r="O23">
        <v>1585</v>
      </c>
      <c r="P23">
        <v>22.1</v>
      </c>
      <c r="Q23">
        <v>63.5</v>
      </c>
      <c r="R23">
        <v>41.5</v>
      </c>
      <c r="S23">
        <v>75.900000000000006</v>
      </c>
      <c r="T23">
        <v>71.900000000000006</v>
      </c>
      <c r="U23">
        <v>8</v>
      </c>
      <c r="V23" t="s">
        <v>54</v>
      </c>
      <c r="W23">
        <v>0.44</v>
      </c>
      <c r="X23">
        <v>1.96</v>
      </c>
      <c r="Y23">
        <v>4</v>
      </c>
      <c r="Z23">
        <v>0</v>
      </c>
      <c r="AA23" t="s">
        <v>74</v>
      </c>
      <c r="AB23" t="s">
        <v>38</v>
      </c>
      <c r="AC23">
        <v>2.1</v>
      </c>
    </row>
    <row r="24" spans="1:29" x14ac:dyDescent="0.25">
      <c r="A24">
        <v>23</v>
      </c>
      <c r="B24" s="1">
        <v>46333</v>
      </c>
      <c r="C24" s="2">
        <v>0.73958333333333337</v>
      </c>
      <c r="D24" t="s">
        <v>83</v>
      </c>
      <c r="E24" t="s">
        <v>70</v>
      </c>
      <c r="F24" t="s">
        <v>39</v>
      </c>
      <c r="G24" t="s">
        <v>63</v>
      </c>
      <c r="H24" t="s">
        <v>61</v>
      </c>
      <c r="I24">
        <v>4</v>
      </c>
      <c r="J24" t="s">
        <v>34</v>
      </c>
      <c r="K24" t="s">
        <v>64</v>
      </c>
      <c r="L24" t="s">
        <v>62</v>
      </c>
      <c r="M24">
        <v>27.674800000000001</v>
      </c>
      <c r="N24">
        <v>85.347200000000001</v>
      </c>
      <c r="O24">
        <v>1585</v>
      </c>
      <c r="P24">
        <v>25</v>
      </c>
      <c r="Q24">
        <v>72</v>
      </c>
      <c r="R24">
        <v>176.6</v>
      </c>
      <c r="S24">
        <v>84.5</v>
      </c>
      <c r="T24">
        <v>83.8</v>
      </c>
      <c r="U24">
        <v>8.3000000000000007</v>
      </c>
      <c r="V24" t="s">
        <v>36</v>
      </c>
      <c r="W24">
        <v>0.59</v>
      </c>
      <c r="X24">
        <v>2.0099999999999998</v>
      </c>
      <c r="Y24">
        <v>2</v>
      </c>
      <c r="Z24">
        <v>0</v>
      </c>
      <c r="AA24" t="s">
        <v>74</v>
      </c>
      <c r="AB24" t="s">
        <v>38</v>
      </c>
      <c r="AC24">
        <v>2.8</v>
      </c>
    </row>
    <row r="25" spans="1:29" x14ac:dyDescent="0.25">
      <c r="A25">
        <v>24</v>
      </c>
      <c r="B25" s="1">
        <v>46336</v>
      </c>
      <c r="C25" s="2">
        <v>0.41805555555555557</v>
      </c>
      <c r="D25" t="s">
        <v>83</v>
      </c>
      <c r="E25" t="s">
        <v>70</v>
      </c>
      <c r="F25" t="s">
        <v>66</v>
      </c>
      <c r="G25" t="s">
        <v>58</v>
      </c>
      <c r="H25" t="s">
        <v>48</v>
      </c>
      <c r="I25">
        <v>3</v>
      </c>
      <c r="J25" t="s">
        <v>34</v>
      </c>
      <c r="K25" t="s">
        <v>34</v>
      </c>
      <c r="L25" t="s">
        <v>49</v>
      </c>
      <c r="M25">
        <v>27.674800000000001</v>
      </c>
      <c r="N25">
        <v>85.347200000000001</v>
      </c>
      <c r="O25">
        <v>1585</v>
      </c>
      <c r="P25">
        <v>21.7</v>
      </c>
      <c r="Q25">
        <v>73.099999999999994</v>
      </c>
      <c r="R25">
        <v>26</v>
      </c>
      <c r="S25">
        <v>83.4</v>
      </c>
      <c r="T25">
        <v>80.099999999999994</v>
      </c>
      <c r="U25">
        <v>6</v>
      </c>
      <c r="V25" t="s">
        <v>36</v>
      </c>
      <c r="W25">
        <v>0.44</v>
      </c>
      <c r="X25">
        <v>1.53</v>
      </c>
      <c r="Y25">
        <v>0</v>
      </c>
      <c r="Z25">
        <v>1</v>
      </c>
      <c r="AA25" t="s">
        <v>74</v>
      </c>
      <c r="AB25" t="s">
        <v>45</v>
      </c>
      <c r="AC25">
        <v>1.2</v>
      </c>
    </row>
    <row r="26" spans="1:29" x14ac:dyDescent="0.25">
      <c r="A26">
        <v>25</v>
      </c>
      <c r="B26" t="s">
        <v>55</v>
      </c>
      <c r="C26" s="2">
        <v>0.26527777777777778</v>
      </c>
      <c r="D26" t="s">
        <v>83</v>
      </c>
      <c r="E26" t="s">
        <v>70</v>
      </c>
      <c r="F26" t="s">
        <v>39</v>
      </c>
      <c r="G26" t="s">
        <v>85</v>
      </c>
      <c r="H26" t="s">
        <v>73</v>
      </c>
      <c r="I26">
        <v>3</v>
      </c>
      <c r="J26" t="s">
        <v>42</v>
      </c>
      <c r="K26" t="s">
        <v>64</v>
      </c>
      <c r="L26" t="s">
        <v>62</v>
      </c>
      <c r="M26">
        <v>27.674800000000001</v>
      </c>
      <c r="N26">
        <v>85.347200000000001</v>
      </c>
      <c r="O26">
        <v>1585</v>
      </c>
      <c r="P26">
        <v>25</v>
      </c>
      <c r="Q26">
        <v>72</v>
      </c>
      <c r="R26">
        <v>176.6</v>
      </c>
      <c r="S26">
        <v>84.5</v>
      </c>
      <c r="T26">
        <v>83.8</v>
      </c>
      <c r="U26">
        <v>8.3000000000000007</v>
      </c>
      <c r="V26" t="s">
        <v>36</v>
      </c>
      <c r="W26">
        <v>0.59</v>
      </c>
      <c r="X26">
        <v>2.0099999999999998</v>
      </c>
      <c r="Y26">
        <v>2</v>
      </c>
      <c r="Z26">
        <v>0</v>
      </c>
      <c r="AA26" t="s">
        <v>74</v>
      </c>
      <c r="AB26" t="s">
        <v>38</v>
      </c>
      <c r="AC26">
        <v>2.8</v>
      </c>
    </row>
    <row r="27" spans="1:29" x14ac:dyDescent="0.25">
      <c r="A27">
        <v>26</v>
      </c>
      <c r="B27" t="s">
        <v>86</v>
      </c>
      <c r="C27" s="2">
        <v>0.56944444444444442</v>
      </c>
      <c r="D27" t="s">
        <v>83</v>
      </c>
      <c r="E27" t="s">
        <v>70</v>
      </c>
      <c r="F27" t="s">
        <v>39</v>
      </c>
      <c r="G27" t="s">
        <v>78</v>
      </c>
      <c r="H27" t="s">
        <v>41</v>
      </c>
      <c r="I27">
        <v>2</v>
      </c>
      <c r="J27" t="s">
        <v>42</v>
      </c>
      <c r="K27" t="s">
        <v>43</v>
      </c>
      <c r="L27" t="s">
        <v>44</v>
      </c>
      <c r="M27">
        <v>27.674800000000001</v>
      </c>
      <c r="N27">
        <v>85.347200000000001</v>
      </c>
      <c r="O27">
        <v>1585</v>
      </c>
      <c r="P27">
        <v>25</v>
      </c>
      <c r="Q27">
        <v>72</v>
      </c>
      <c r="R27">
        <v>176.6</v>
      </c>
      <c r="S27">
        <v>84.5</v>
      </c>
      <c r="T27">
        <v>83.8</v>
      </c>
      <c r="U27">
        <v>8.3000000000000007</v>
      </c>
      <c r="V27" t="s">
        <v>36</v>
      </c>
      <c r="W27">
        <v>0.59</v>
      </c>
      <c r="X27">
        <v>2.0099999999999998</v>
      </c>
      <c r="Y27">
        <v>2</v>
      </c>
      <c r="Z27">
        <v>0</v>
      </c>
      <c r="AA27" t="s">
        <v>74</v>
      </c>
      <c r="AB27" t="s">
        <v>38</v>
      </c>
      <c r="AC27">
        <v>2.8</v>
      </c>
    </row>
    <row r="28" spans="1:29" x14ac:dyDescent="0.25">
      <c r="A28">
        <v>27</v>
      </c>
      <c r="B28" t="s">
        <v>86</v>
      </c>
      <c r="C28" s="2">
        <v>0.74097222222222225</v>
      </c>
      <c r="D28" t="s">
        <v>83</v>
      </c>
      <c r="E28" t="s">
        <v>70</v>
      </c>
      <c r="F28" t="s">
        <v>39</v>
      </c>
      <c r="G28" t="s">
        <v>47</v>
      </c>
      <c r="H28" t="s">
        <v>48</v>
      </c>
      <c r="I28">
        <v>4</v>
      </c>
      <c r="J28" t="s">
        <v>34</v>
      </c>
      <c r="K28" t="s">
        <v>34</v>
      </c>
      <c r="L28" t="s">
        <v>49</v>
      </c>
      <c r="M28">
        <v>27.674800000000001</v>
      </c>
      <c r="N28">
        <v>85.347200000000001</v>
      </c>
      <c r="O28">
        <v>1585</v>
      </c>
      <c r="P28">
        <v>25</v>
      </c>
      <c r="Q28">
        <v>72</v>
      </c>
      <c r="R28">
        <v>176.6</v>
      </c>
      <c r="S28">
        <v>84.5</v>
      </c>
      <c r="T28">
        <v>83.8</v>
      </c>
      <c r="U28">
        <v>8.3000000000000007</v>
      </c>
      <c r="V28" t="s">
        <v>36</v>
      </c>
      <c r="W28">
        <v>0.59</v>
      </c>
      <c r="X28">
        <v>2.0099999999999998</v>
      </c>
      <c r="Y28">
        <v>2</v>
      </c>
      <c r="Z28">
        <v>0</v>
      </c>
      <c r="AA28" t="s">
        <v>74</v>
      </c>
      <c r="AB28" t="s">
        <v>38</v>
      </c>
      <c r="AC28">
        <v>2.8</v>
      </c>
    </row>
    <row r="29" spans="1:29" x14ac:dyDescent="0.25">
      <c r="A29">
        <v>28</v>
      </c>
      <c r="B29" t="s">
        <v>82</v>
      </c>
      <c r="C29" s="2">
        <v>0.72291666666666676</v>
      </c>
      <c r="D29" t="s">
        <v>83</v>
      </c>
      <c r="E29" t="s">
        <v>70</v>
      </c>
      <c r="F29" t="s">
        <v>71</v>
      </c>
      <c r="G29" t="s">
        <v>47</v>
      </c>
      <c r="H29" t="s">
        <v>48</v>
      </c>
      <c r="I29">
        <v>3</v>
      </c>
      <c r="J29" t="s">
        <v>34</v>
      </c>
      <c r="K29" t="s">
        <v>34</v>
      </c>
      <c r="L29" t="s">
        <v>49</v>
      </c>
      <c r="M29">
        <v>27.674800000000001</v>
      </c>
      <c r="N29">
        <v>85.347200000000001</v>
      </c>
      <c r="O29">
        <v>1585</v>
      </c>
      <c r="P29">
        <v>13.6</v>
      </c>
      <c r="Q29">
        <v>55.9</v>
      </c>
      <c r="R29">
        <v>15.2</v>
      </c>
      <c r="S29">
        <v>82.8</v>
      </c>
      <c r="T29">
        <v>80.8</v>
      </c>
      <c r="U29">
        <v>7.7</v>
      </c>
      <c r="V29" t="s">
        <v>54</v>
      </c>
      <c r="W29">
        <v>0.72</v>
      </c>
      <c r="X29">
        <v>1.71</v>
      </c>
      <c r="Y29">
        <v>4</v>
      </c>
      <c r="Z29">
        <v>0</v>
      </c>
      <c r="AA29" t="s">
        <v>74</v>
      </c>
      <c r="AB29" t="s">
        <v>45</v>
      </c>
      <c r="AC29">
        <v>1.8</v>
      </c>
    </row>
    <row r="30" spans="1:29" x14ac:dyDescent="0.25">
      <c r="A30">
        <v>29</v>
      </c>
      <c r="B30" t="s">
        <v>87</v>
      </c>
      <c r="C30" s="2">
        <v>0.42499999999999999</v>
      </c>
      <c r="D30" t="s">
        <v>83</v>
      </c>
      <c r="E30" t="s">
        <v>70</v>
      </c>
      <c r="F30" t="s">
        <v>39</v>
      </c>
      <c r="G30" t="s">
        <v>88</v>
      </c>
      <c r="H30" t="s">
        <v>48</v>
      </c>
      <c r="I30">
        <v>3</v>
      </c>
      <c r="J30" t="s">
        <v>34</v>
      </c>
      <c r="K30" t="s">
        <v>34</v>
      </c>
      <c r="L30" t="s">
        <v>49</v>
      </c>
      <c r="M30">
        <v>27.674800000000001</v>
      </c>
      <c r="N30">
        <v>85.347200000000001</v>
      </c>
      <c r="O30">
        <v>1585</v>
      </c>
      <c r="P30">
        <v>25</v>
      </c>
      <c r="Q30">
        <v>72</v>
      </c>
      <c r="R30">
        <v>176.6</v>
      </c>
      <c r="S30">
        <v>84.5</v>
      </c>
      <c r="T30">
        <v>83.8</v>
      </c>
      <c r="U30">
        <v>8.3000000000000007</v>
      </c>
      <c r="V30" t="s">
        <v>36</v>
      </c>
      <c r="W30">
        <v>0.59</v>
      </c>
      <c r="X30">
        <v>2.0099999999999998</v>
      </c>
      <c r="Y30">
        <v>2</v>
      </c>
      <c r="Z30">
        <v>0</v>
      </c>
      <c r="AA30" t="s">
        <v>74</v>
      </c>
      <c r="AB30" t="s">
        <v>38</v>
      </c>
      <c r="AC30">
        <v>2.8</v>
      </c>
    </row>
    <row r="31" spans="1:29" x14ac:dyDescent="0.25">
      <c r="A31">
        <v>30</v>
      </c>
      <c r="B31" s="1">
        <v>46722</v>
      </c>
      <c r="C31" s="2">
        <v>0.54375000000000007</v>
      </c>
      <c r="D31" t="s">
        <v>89</v>
      </c>
      <c r="E31" t="s">
        <v>70</v>
      </c>
      <c r="F31" t="s">
        <v>71</v>
      </c>
      <c r="G31" t="s">
        <v>67</v>
      </c>
      <c r="H31" t="s">
        <v>41</v>
      </c>
      <c r="I31">
        <v>4</v>
      </c>
      <c r="J31" t="s">
        <v>42</v>
      </c>
      <c r="K31" t="s">
        <v>34</v>
      </c>
      <c r="L31" t="s">
        <v>44</v>
      </c>
      <c r="M31">
        <v>27.6921</v>
      </c>
      <c r="N31">
        <v>85.3215</v>
      </c>
      <c r="O31">
        <v>1498</v>
      </c>
      <c r="P31">
        <v>17.899999999999999</v>
      </c>
      <c r="Q31">
        <v>54.1</v>
      </c>
      <c r="R31">
        <v>2.2000000000000002</v>
      </c>
      <c r="S31">
        <v>73.2</v>
      </c>
      <c r="T31">
        <v>74.2</v>
      </c>
      <c r="U31">
        <v>7</v>
      </c>
      <c r="V31" t="s">
        <v>54</v>
      </c>
      <c r="W31">
        <v>0.68</v>
      </c>
      <c r="X31">
        <v>1.8</v>
      </c>
      <c r="Y31">
        <v>3</v>
      </c>
      <c r="Z31">
        <v>1</v>
      </c>
      <c r="AA31" t="s">
        <v>74</v>
      </c>
      <c r="AB31" t="s">
        <v>38</v>
      </c>
      <c r="AC31">
        <v>1.3</v>
      </c>
    </row>
    <row r="32" spans="1:29" x14ac:dyDescent="0.25">
      <c r="A32">
        <v>31</v>
      </c>
      <c r="B32" s="1">
        <v>46722</v>
      </c>
      <c r="C32" s="2">
        <v>0.42083333333333334</v>
      </c>
      <c r="D32" t="s">
        <v>89</v>
      </c>
      <c r="E32" t="s">
        <v>70</v>
      </c>
      <c r="F32" t="s">
        <v>71</v>
      </c>
      <c r="G32" t="s">
        <v>58</v>
      </c>
      <c r="H32" t="s">
        <v>48</v>
      </c>
      <c r="I32">
        <v>1</v>
      </c>
      <c r="J32" t="s">
        <v>34</v>
      </c>
      <c r="K32" t="s">
        <v>34</v>
      </c>
      <c r="L32" t="s">
        <v>49</v>
      </c>
      <c r="M32">
        <v>27.6921</v>
      </c>
      <c r="N32">
        <v>85.3215</v>
      </c>
      <c r="O32">
        <v>1498</v>
      </c>
      <c r="P32">
        <v>17.899999999999999</v>
      </c>
      <c r="Q32">
        <v>54.1</v>
      </c>
      <c r="R32">
        <v>2.2000000000000002</v>
      </c>
      <c r="S32">
        <v>73.2</v>
      </c>
      <c r="T32">
        <v>74.2</v>
      </c>
      <c r="U32">
        <v>7</v>
      </c>
      <c r="V32" t="s">
        <v>54</v>
      </c>
      <c r="W32">
        <v>0.68</v>
      </c>
      <c r="X32">
        <v>1.8</v>
      </c>
      <c r="Y32">
        <v>3</v>
      </c>
      <c r="Z32">
        <v>1</v>
      </c>
      <c r="AA32" t="s">
        <v>74</v>
      </c>
      <c r="AB32" t="s">
        <v>38</v>
      </c>
      <c r="AC32">
        <v>1.3</v>
      </c>
    </row>
    <row r="33" spans="1:29" x14ac:dyDescent="0.25">
      <c r="A33">
        <v>32</v>
      </c>
      <c r="B33" t="s">
        <v>90</v>
      </c>
      <c r="C33" s="2">
        <v>0.39374999999999999</v>
      </c>
      <c r="D33" t="s">
        <v>89</v>
      </c>
      <c r="E33" t="s">
        <v>70</v>
      </c>
      <c r="F33" t="s">
        <v>71</v>
      </c>
      <c r="G33" t="s">
        <v>81</v>
      </c>
      <c r="H33" t="s">
        <v>33</v>
      </c>
      <c r="I33">
        <v>5</v>
      </c>
      <c r="J33" t="s">
        <v>34</v>
      </c>
      <c r="K33" t="s">
        <v>34</v>
      </c>
      <c r="L33" t="s">
        <v>35</v>
      </c>
      <c r="M33">
        <v>27.6921</v>
      </c>
      <c r="N33">
        <v>85.3215</v>
      </c>
      <c r="O33">
        <v>1498</v>
      </c>
      <c r="P33">
        <v>17.899999999999999</v>
      </c>
      <c r="Q33">
        <v>54.1</v>
      </c>
      <c r="R33">
        <v>2.2000000000000002</v>
      </c>
      <c r="S33">
        <v>73.2</v>
      </c>
      <c r="T33">
        <v>74.2</v>
      </c>
      <c r="U33">
        <v>7</v>
      </c>
      <c r="V33" t="s">
        <v>54</v>
      </c>
      <c r="W33">
        <v>0.68</v>
      </c>
      <c r="X33">
        <v>1.8</v>
      </c>
      <c r="Y33">
        <v>3</v>
      </c>
      <c r="Z33">
        <v>1</v>
      </c>
      <c r="AA33" t="s">
        <v>74</v>
      </c>
      <c r="AB33" t="s">
        <v>38</v>
      </c>
      <c r="AC33">
        <v>1.3</v>
      </c>
    </row>
    <row r="34" spans="1:29" x14ac:dyDescent="0.25">
      <c r="A34">
        <v>33</v>
      </c>
      <c r="B34" t="s">
        <v>55</v>
      </c>
      <c r="C34" s="2">
        <v>0.72152777777777777</v>
      </c>
      <c r="D34" t="s">
        <v>89</v>
      </c>
      <c r="E34" t="s">
        <v>70</v>
      </c>
      <c r="F34" t="s">
        <v>39</v>
      </c>
      <c r="G34" t="s">
        <v>88</v>
      </c>
      <c r="H34" t="s">
        <v>48</v>
      </c>
      <c r="I34">
        <v>5</v>
      </c>
      <c r="J34" t="s">
        <v>34</v>
      </c>
      <c r="K34" t="s">
        <v>34</v>
      </c>
      <c r="L34" t="s">
        <v>49</v>
      </c>
      <c r="M34">
        <v>27.6921</v>
      </c>
      <c r="N34">
        <v>85.3215</v>
      </c>
      <c r="O34">
        <v>1498</v>
      </c>
      <c r="P34">
        <v>23.8</v>
      </c>
      <c r="Q34">
        <v>84.9</v>
      </c>
      <c r="R34">
        <v>104.1</v>
      </c>
      <c r="S34">
        <v>77</v>
      </c>
      <c r="T34">
        <v>78.7</v>
      </c>
      <c r="U34">
        <v>9.3000000000000007</v>
      </c>
      <c r="V34" t="s">
        <v>54</v>
      </c>
      <c r="W34">
        <v>0.48</v>
      </c>
      <c r="X34">
        <v>1.92</v>
      </c>
      <c r="Y34">
        <v>2</v>
      </c>
      <c r="Z34">
        <v>1</v>
      </c>
      <c r="AA34" t="s">
        <v>74</v>
      </c>
      <c r="AB34" t="s">
        <v>45</v>
      </c>
      <c r="AC34">
        <v>1.2</v>
      </c>
    </row>
    <row r="35" spans="1:29" x14ac:dyDescent="0.25">
      <c r="A35">
        <v>34</v>
      </c>
      <c r="B35" t="s">
        <v>91</v>
      </c>
      <c r="C35" s="2">
        <v>0.3263888888888889</v>
      </c>
      <c r="D35" t="s">
        <v>89</v>
      </c>
      <c r="E35" t="s">
        <v>70</v>
      </c>
      <c r="F35" t="s">
        <v>39</v>
      </c>
      <c r="G35" t="s">
        <v>81</v>
      </c>
      <c r="H35" t="s">
        <v>33</v>
      </c>
      <c r="I35">
        <v>11</v>
      </c>
      <c r="J35" t="s">
        <v>34</v>
      </c>
      <c r="K35" t="s">
        <v>34</v>
      </c>
      <c r="L35" t="s">
        <v>35</v>
      </c>
      <c r="M35">
        <v>27.6921</v>
      </c>
      <c r="N35">
        <v>85.3215</v>
      </c>
      <c r="O35">
        <v>1498</v>
      </c>
      <c r="P35">
        <v>23.8</v>
      </c>
      <c r="Q35">
        <v>84.9</v>
      </c>
      <c r="R35">
        <v>104.1</v>
      </c>
      <c r="S35">
        <v>77</v>
      </c>
      <c r="T35">
        <v>78.7</v>
      </c>
      <c r="U35">
        <v>9.3000000000000007</v>
      </c>
      <c r="V35" t="s">
        <v>54</v>
      </c>
      <c r="W35">
        <v>0.48</v>
      </c>
      <c r="X35">
        <v>1.92</v>
      </c>
      <c r="Y35">
        <v>2</v>
      </c>
      <c r="Z35">
        <v>1</v>
      </c>
      <c r="AA35" t="s">
        <v>74</v>
      </c>
      <c r="AB35" t="s">
        <v>45</v>
      </c>
      <c r="AC35">
        <v>1.2</v>
      </c>
    </row>
    <row r="36" spans="1:29" x14ac:dyDescent="0.25">
      <c r="A36">
        <v>35</v>
      </c>
      <c r="B36" t="s">
        <v>92</v>
      </c>
      <c r="C36" s="2">
        <v>0.55069444444444449</v>
      </c>
      <c r="D36" t="s">
        <v>89</v>
      </c>
      <c r="E36" t="s">
        <v>70</v>
      </c>
      <c r="F36" t="s">
        <v>39</v>
      </c>
      <c r="G36" t="s">
        <v>53</v>
      </c>
      <c r="H36" t="s">
        <v>48</v>
      </c>
      <c r="I36">
        <v>3</v>
      </c>
      <c r="J36" t="s">
        <v>34</v>
      </c>
      <c r="K36" t="s">
        <v>34</v>
      </c>
      <c r="L36" t="s">
        <v>49</v>
      </c>
      <c r="M36">
        <v>27.6921</v>
      </c>
      <c r="N36">
        <v>85.3215</v>
      </c>
      <c r="O36">
        <v>1498</v>
      </c>
      <c r="P36">
        <v>23.8</v>
      </c>
      <c r="Q36">
        <v>84.9</v>
      </c>
      <c r="R36">
        <v>104.1</v>
      </c>
      <c r="S36">
        <v>77</v>
      </c>
      <c r="T36">
        <v>78.7</v>
      </c>
      <c r="U36">
        <v>9.3000000000000007</v>
      </c>
      <c r="V36" t="s">
        <v>54</v>
      </c>
      <c r="W36">
        <v>0.48</v>
      </c>
      <c r="X36">
        <v>1.92</v>
      </c>
      <c r="Y36">
        <v>2</v>
      </c>
      <c r="Z36">
        <v>1</v>
      </c>
      <c r="AA36" t="s">
        <v>74</v>
      </c>
      <c r="AB36" t="s">
        <v>45</v>
      </c>
      <c r="AC36">
        <v>1.2</v>
      </c>
    </row>
    <row r="37" spans="1:29" x14ac:dyDescent="0.25">
      <c r="A37">
        <v>36</v>
      </c>
      <c r="B37" t="s">
        <v>93</v>
      </c>
      <c r="C37" s="2">
        <v>0.55694444444444446</v>
      </c>
      <c r="D37" t="s">
        <v>89</v>
      </c>
      <c r="E37" t="s">
        <v>70</v>
      </c>
      <c r="F37" t="s">
        <v>31</v>
      </c>
      <c r="G37" t="s">
        <v>81</v>
      </c>
      <c r="H37" t="s">
        <v>33</v>
      </c>
      <c r="I37">
        <v>4</v>
      </c>
      <c r="J37" t="s">
        <v>34</v>
      </c>
      <c r="K37" t="s">
        <v>34</v>
      </c>
      <c r="L37" t="s">
        <v>35</v>
      </c>
      <c r="M37">
        <v>27.6921</v>
      </c>
      <c r="N37">
        <v>85.3215</v>
      </c>
      <c r="O37">
        <v>1498</v>
      </c>
      <c r="P37">
        <v>21</v>
      </c>
      <c r="Q37">
        <v>77.599999999999994</v>
      </c>
      <c r="R37">
        <v>54.6</v>
      </c>
      <c r="S37">
        <v>75.5</v>
      </c>
      <c r="T37">
        <v>68.7</v>
      </c>
      <c r="U37">
        <v>7.7</v>
      </c>
      <c r="V37" t="s">
        <v>54</v>
      </c>
      <c r="W37">
        <v>0.77</v>
      </c>
      <c r="X37">
        <v>1.97</v>
      </c>
      <c r="Y37">
        <v>5</v>
      </c>
      <c r="Z37">
        <v>2</v>
      </c>
      <c r="AA37" t="s">
        <v>74</v>
      </c>
      <c r="AB37" t="s">
        <v>38</v>
      </c>
      <c r="AC37">
        <v>2.4</v>
      </c>
    </row>
    <row r="38" spans="1:29" x14ac:dyDescent="0.25">
      <c r="A38">
        <v>37</v>
      </c>
      <c r="B38" t="s">
        <v>94</v>
      </c>
      <c r="C38" s="2">
        <v>0.29791666666666666</v>
      </c>
      <c r="D38" t="s">
        <v>95</v>
      </c>
      <c r="E38" t="s">
        <v>96</v>
      </c>
      <c r="F38" t="s">
        <v>66</v>
      </c>
      <c r="G38" t="s">
        <v>72</v>
      </c>
      <c r="H38" t="s">
        <v>73</v>
      </c>
      <c r="I38">
        <v>1</v>
      </c>
      <c r="J38" t="s">
        <v>42</v>
      </c>
      <c r="K38" t="s">
        <v>34</v>
      </c>
      <c r="L38" t="s">
        <v>62</v>
      </c>
      <c r="M38">
        <v>27.7242</v>
      </c>
      <c r="N38">
        <v>85.351500000000001</v>
      </c>
      <c r="O38">
        <v>1288</v>
      </c>
      <c r="P38">
        <v>21.3</v>
      </c>
      <c r="Q38">
        <v>74.400000000000006</v>
      </c>
      <c r="R38">
        <v>58.5</v>
      </c>
      <c r="S38">
        <v>33.299999999999997</v>
      </c>
      <c r="T38">
        <v>20.7</v>
      </c>
      <c r="U38">
        <v>3.9</v>
      </c>
      <c r="V38" t="s">
        <v>54</v>
      </c>
      <c r="W38">
        <v>0.11</v>
      </c>
      <c r="X38">
        <v>0.11</v>
      </c>
      <c r="Y38">
        <v>8</v>
      </c>
      <c r="Z38">
        <v>1</v>
      </c>
      <c r="AA38" t="s">
        <v>74</v>
      </c>
      <c r="AB38" t="s">
        <v>97</v>
      </c>
      <c r="AC38">
        <v>7.6</v>
      </c>
    </row>
    <row r="39" spans="1:29" x14ac:dyDescent="0.25">
      <c r="A39">
        <v>38</v>
      </c>
      <c r="B39" t="s">
        <v>93</v>
      </c>
      <c r="C39" s="2">
        <v>0.52152777777777781</v>
      </c>
      <c r="D39" t="s">
        <v>95</v>
      </c>
      <c r="E39" t="s">
        <v>96</v>
      </c>
      <c r="F39" t="s">
        <v>31</v>
      </c>
      <c r="G39" t="s">
        <v>98</v>
      </c>
      <c r="H39" t="s">
        <v>41</v>
      </c>
      <c r="I39">
        <v>3</v>
      </c>
      <c r="J39" t="s">
        <v>42</v>
      </c>
      <c r="K39" t="s">
        <v>43</v>
      </c>
      <c r="L39" t="s">
        <v>44</v>
      </c>
      <c r="M39">
        <v>27.7242</v>
      </c>
      <c r="N39">
        <v>85.351500000000001</v>
      </c>
      <c r="O39">
        <v>1288</v>
      </c>
      <c r="P39">
        <v>21.3</v>
      </c>
      <c r="Q39">
        <v>61.2</v>
      </c>
      <c r="R39">
        <v>39.9</v>
      </c>
      <c r="S39">
        <v>26.4</v>
      </c>
      <c r="T39">
        <v>11.1</v>
      </c>
      <c r="U39">
        <v>5.4</v>
      </c>
      <c r="V39" t="s">
        <v>54</v>
      </c>
      <c r="W39">
        <v>0.09</v>
      </c>
      <c r="X39">
        <v>0.5</v>
      </c>
      <c r="Y39">
        <v>8</v>
      </c>
      <c r="Z39">
        <v>0</v>
      </c>
      <c r="AA39" t="s">
        <v>74</v>
      </c>
      <c r="AB39" t="s">
        <v>97</v>
      </c>
      <c r="AC39">
        <v>8.6999999999999993</v>
      </c>
    </row>
    <row r="40" spans="1:29" x14ac:dyDescent="0.25">
      <c r="A40">
        <v>39</v>
      </c>
      <c r="B40" t="s">
        <v>87</v>
      </c>
      <c r="C40" s="2">
        <v>0.56527777777777777</v>
      </c>
      <c r="D40" t="s">
        <v>95</v>
      </c>
      <c r="E40" t="s">
        <v>96</v>
      </c>
      <c r="F40" t="s">
        <v>39</v>
      </c>
      <c r="G40" t="s">
        <v>32</v>
      </c>
      <c r="H40" t="s">
        <v>33</v>
      </c>
      <c r="I40">
        <v>2</v>
      </c>
      <c r="J40" t="s">
        <v>34</v>
      </c>
      <c r="K40" t="s">
        <v>34</v>
      </c>
      <c r="L40" t="s">
        <v>35</v>
      </c>
      <c r="M40">
        <v>27.7242</v>
      </c>
      <c r="N40">
        <v>85.351500000000001</v>
      </c>
      <c r="O40">
        <v>1288</v>
      </c>
      <c r="P40">
        <v>25.5</v>
      </c>
      <c r="Q40">
        <v>75.7</v>
      </c>
      <c r="R40">
        <v>92.7</v>
      </c>
      <c r="S40">
        <v>31.9</v>
      </c>
      <c r="T40">
        <v>14.2</v>
      </c>
      <c r="U40">
        <v>5.8</v>
      </c>
      <c r="V40" t="s">
        <v>54</v>
      </c>
      <c r="W40">
        <v>0.04</v>
      </c>
      <c r="X40">
        <v>0.39</v>
      </c>
      <c r="Y40">
        <v>7</v>
      </c>
      <c r="Z40">
        <v>4</v>
      </c>
      <c r="AA40" t="s">
        <v>37</v>
      </c>
      <c r="AB40" t="s">
        <v>97</v>
      </c>
      <c r="AC40">
        <v>7.8</v>
      </c>
    </row>
    <row r="41" spans="1:29" x14ac:dyDescent="0.25">
      <c r="A41">
        <v>40</v>
      </c>
      <c r="B41" s="1">
        <v>46336</v>
      </c>
      <c r="C41" s="2">
        <v>0.42152777777777778</v>
      </c>
      <c r="D41" t="s">
        <v>99</v>
      </c>
      <c r="E41" t="s">
        <v>96</v>
      </c>
      <c r="F41" t="s">
        <v>66</v>
      </c>
      <c r="G41" t="s">
        <v>88</v>
      </c>
      <c r="H41" t="s">
        <v>48</v>
      </c>
      <c r="I41">
        <v>2</v>
      </c>
      <c r="J41" t="s">
        <v>34</v>
      </c>
      <c r="K41" t="s">
        <v>34</v>
      </c>
      <c r="L41" t="s">
        <v>49</v>
      </c>
      <c r="M41">
        <v>27.731100000000001</v>
      </c>
      <c r="N41">
        <v>85.365899999999996</v>
      </c>
      <c r="O41">
        <v>1275</v>
      </c>
      <c r="P41">
        <v>21.5</v>
      </c>
      <c r="Q41">
        <v>77.599999999999994</v>
      </c>
      <c r="R41">
        <v>21.4</v>
      </c>
      <c r="S41">
        <v>33.5</v>
      </c>
      <c r="T41">
        <v>18.399999999999999</v>
      </c>
      <c r="U41">
        <v>4</v>
      </c>
      <c r="V41" t="s">
        <v>36</v>
      </c>
      <c r="W41">
        <v>0.03</v>
      </c>
      <c r="X41">
        <v>0.17</v>
      </c>
      <c r="Y41">
        <v>6</v>
      </c>
      <c r="Z41">
        <v>1</v>
      </c>
      <c r="AA41" t="s">
        <v>37</v>
      </c>
      <c r="AB41" t="s">
        <v>38</v>
      </c>
      <c r="AC41">
        <v>8.1999999999999993</v>
      </c>
    </row>
    <row r="42" spans="1:29" x14ac:dyDescent="0.25">
      <c r="A42">
        <v>41</v>
      </c>
      <c r="B42" t="s">
        <v>90</v>
      </c>
      <c r="C42" s="2">
        <v>0.2951388888888889</v>
      </c>
      <c r="D42" t="s">
        <v>99</v>
      </c>
      <c r="E42" t="s">
        <v>96</v>
      </c>
      <c r="F42" t="s">
        <v>71</v>
      </c>
      <c r="G42" t="s">
        <v>40</v>
      </c>
      <c r="H42" t="s">
        <v>41</v>
      </c>
      <c r="I42">
        <v>1</v>
      </c>
      <c r="J42" t="s">
        <v>42</v>
      </c>
      <c r="K42" t="s">
        <v>43</v>
      </c>
      <c r="L42" t="s">
        <v>44</v>
      </c>
      <c r="M42">
        <v>27.731100000000001</v>
      </c>
      <c r="N42">
        <v>85.365899999999996</v>
      </c>
      <c r="O42">
        <v>1275</v>
      </c>
      <c r="P42">
        <v>15.8</v>
      </c>
      <c r="Q42">
        <v>50.8</v>
      </c>
      <c r="R42">
        <v>8</v>
      </c>
      <c r="S42">
        <v>26.4</v>
      </c>
      <c r="T42">
        <v>19.899999999999999</v>
      </c>
      <c r="U42">
        <v>4.4000000000000004</v>
      </c>
      <c r="V42" t="s">
        <v>36</v>
      </c>
      <c r="W42">
        <v>0.12</v>
      </c>
      <c r="X42">
        <v>0.25</v>
      </c>
      <c r="Y42">
        <v>5</v>
      </c>
      <c r="Z42">
        <v>4</v>
      </c>
      <c r="AA42" t="s">
        <v>74</v>
      </c>
      <c r="AB42" t="s">
        <v>97</v>
      </c>
      <c r="AC42">
        <v>7.1</v>
      </c>
    </row>
    <row r="43" spans="1:29" x14ac:dyDescent="0.25">
      <c r="A43">
        <v>42</v>
      </c>
      <c r="B43" t="s">
        <v>55</v>
      </c>
      <c r="C43" s="2">
        <v>0.44236111111111115</v>
      </c>
      <c r="D43" t="s">
        <v>99</v>
      </c>
      <c r="E43" t="s">
        <v>96</v>
      </c>
      <c r="F43" t="s">
        <v>39</v>
      </c>
      <c r="G43" t="s">
        <v>60</v>
      </c>
      <c r="H43" t="s">
        <v>61</v>
      </c>
      <c r="I43">
        <v>2</v>
      </c>
      <c r="J43" t="s">
        <v>42</v>
      </c>
      <c r="K43" t="s">
        <v>43</v>
      </c>
      <c r="L43" t="s">
        <v>62</v>
      </c>
      <c r="M43">
        <v>27.731100000000001</v>
      </c>
      <c r="N43">
        <v>85.365899999999996</v>
      </c>
      <c r="O43">
        <v>1275</v>
      </c>
      <c r="P43">
        <v>25.4</v>
      </c>
      <c r="Q43">
        <v>81.8</v>
      </c>
      <c r="R43">
        <v>103.7</v>
      </c>
      <c r="S43">
        <v>30.1</v>
      </c>
      <c r="T43">
        <v>21.2</v>
      </c>
      <c r="U43">
        <v>4.0999999999999996</v>
      </c>
      <c r="V43" t="s">
        <v>54</v>
      </c>
      <c r="W43">
        <v>0.08</v>
      </c>
      <c r="X43">
        <v>0.18</v>
      </c>
      <c r="Y43">
        <v>10</v>
      </c>
      <c r="Z43">
        <v>1</v>
      </c>
      <c r="AA43" t="s">
        <v>74</v>
      </c>
      <c r="AB43" t="s">
        <v>38</v>
      </c>
      <c r="AC43">
        <v>8.1</v>
      </c>
    </row>
    <row r="44" spans="1:29" x14ac:dyDescent="0.25">
      <c r="A44">
        <v>43</v>
      </c>
      <c r="B44" t="s">
        <v>65</v>
      </c>
      <c r="C44" s="2">
        <v>0.37083333333333335</v>
      </c>
      <c r="D44" t="s">
        <v>100</v>
      </c>
      <c r="E44" t="s">
        <v>96</v>
      </c>
      <c r="F44" t="s">
        <v>66</v>
      </c>
      <c r="G44" t="s">
        <v>101</v>
      </c>
      <c r="H44" t="s">
        <v>102</v>
      </c>
      <c r="I44">
        <v>5</v>
      </c>
      <c r="J44" t="s">
        <v>77</v>
      </c>
      <c r="K44" t="s">
        <v>43</v>
      </c>
      <c r="L44" t="s">
        <v>103</v>
      </c>
      <c r="M44">
        <v>27.718699999999998</v>
      </c>
      <c r="N44">
        <v>85.379099999999994</v>
      </c>
      <c r="O44">
        <v>1304</v>
      </c>
      <c r="P44">
        <v>21.9</v>
      </c>
      <c r="Q44">
        <v>68.8</v>
      </c>
      <c r="R44">
        <v>39.799999999999997</v>
      </c>
      <c r="S44">
        <v>32.1</v>
      </c>
      <c r="T44">
        <v>18.5</v>
      </c>
      <c r="U44">
        <v>4.5</v>
      </c>
      <c r="V44" t="s">
        <v>36</v>
      </c>
      <c r="W44">
        <v>0.23</v>
      </c>
      <c r="X44">
        <v>0.27</v>
      </c>
      <c r="Y44">
        <v>6</v>
      </c>
      <c r="Z44">
        <v>3</v>
      </c>
      <c r="AA44" t="s">
        <v>74</v>
      </c>
      <c r="AB44" t="s">
        <v>97</v>
      </c>
      <c r="AC44">
        <v>7.6</v>
      </c>
    </row>
    <row r="45" spans="1:29" x14ac:dyDescent="0.25">
      <c r="A45">
        <v>44</v>
      </c>
      <c r="B45" t="s">
        <v>104</v>
      </c>
      <c r="C45" s="2">
        <v>0.56527777777777777</v>
      </c>
      <c r="D45" t="s">
        <v>100</v>
      </c>
      <c r="E45" t="s">
        <v>96</v>
      </c>
      <c r="F45" t="s">
        <v>66</v>
      </c>
      <c r="G45" t="s">
        <v>78</v>
      </c>
      <c r="H45" t="s">
        <v>41</v>
      </c>
      <c r="I45">
        <v>4</v>
      </c>
      <c r="J45" t="s">
        <v>42</v>
      </c>
      <c r="K45" t="s">
        <v>43</v>
      </c>
      <c r="L45" t="s">
        <v>44</v>
      </c>
      <c r="M45">
        <v>27.718699999999998</v>
      </c>
      <c r="N45">
        <v>85.379099999999994</v>
      </c>
      <c r="O45">
        <v>1304</v>
      </c>
      <c r="P45">
        <v>21.9</v>
      </c>
      <c r="Q45">
        <v>68.8</v>
      </c>
      <c r="R45">
        <v>39.799999999999997</v>
      </c>
      <c r="S45">
        <v>32.1</v>
      </c>
      <c r="T45">
        <v>18.5</v>
      </c>
      <c r="U45">
        <v>4.5</v>
      </c>
      <c r="V45" t="s">
        <v>36</v>
      </c>
      <c r="W45">
        <v>0.23</v>
      </c>
      <c r="X45">
        <v>0.27</v>
      </c>
      <c r="Y45">
        <v>6</v>
      </c>
      <c r="Z45">
        <v>3</v>
      </c>
      <c r="AA45" t="s">
        <v>74</v>
      </c>
      <c r="AB45" t="s">
        <v>97</v>
      </c>
      <c r="AC45">
        <v>7.6</v>
      </c>
    </row>
    <row r="46" spans="1:29" x14ac:dyDescent="0.25">
      <c r="A46">
        <v>45</v>
      </c>
      <c r="B46" t="s">
        <v>87</v>
      </c>
      <c r="C46" s="2">
        <v>0.56388888888888888</v>
      </c>
      <c r="D46" t="s">
        <v>100</v>
      </c>
      <c r="E46" t="s">
        <v>96</v>
      </c>
      <c r="F46" t="s">
        <v>39</v>
      </c>
      <c r="G46" t="s">
        <v>85</v>
      </c>
      <c r="H46" t="s">
        <v>73</v>
      </c>
      <c r="I46">
        <v>1</v>
      </c>
      <c r="J46" t="s">
        <v>77</v>
      </c>
      <c r="K46" t="s">
        <v>43</v>
      </c>
      <c r="L46" t="s">
        <v>62</v>
      </c>
      <c r="M46">
        <v>27.718699999999998</v>
      </c>
      <c r="N46">
        <v>85.379099999999994</v>
      </c>
      <c r="O46">
        <v>1304</v>
      </c>
      <c r="P46">
        <v>24.4</v>
      </c>
      <c r="Q46">
        <v>72</v>
      </c>
      <c r="R46">
        <v>82.5</v>
      </c>
      <c r="S46">
        <v>27.8</v>
      </c>
      <c r="T46">
        <v>18.7</v>
      </c>
      <c r="U46">
        <v>5.6</v>
      </c>
      <c r="V46" t="s">
        <v>36</v>
      </c>
      <c r="W46">
        <v>0.06</v>
      </c>
      <c r="X46">
        <v>0.18</v>
      </c>
      <c r="Y46">
        <v>7</v>
      </c>
      <c r="Z46">
        <v>3</v>
      </c>
      <c r="AA46" t="s">
        <v>74</v>
      </c>
      <c r="AB46" t="s">
        <v>45</v>
      </c>
      <c r="AC46">
        <v>7.2</v>
      </c>
    </row>
    <row r="47" spans="1:29" x14ac:dyDescent="0.25">
      <c r="A47">
        <v>46</v>
      </c>
      <c r="B47" t="s">
        <v>76</v>
      </c>
      <c r="C47" s="2">
        <v>0.71319444444444446</v>
      </c>
      <c r="D47" t="s">
        <v>105</v>
      </c>
      <c r="E47" t="s">
        <v>106</v>
      </c>
      <c r="F47" t="s">
        <v>31</v>
      </c>
      <c r="G47" t="s">
        <v>78</v>
      </c>
      <c r="H47" t="s">
        <v>41</v>
      </c>
      <c r="I47">
        <v>5</v>
      </c>
      <c r="J47" t="s">
        <v>34</v>
      </c>
      <c r="K47" t="s">
        <v>34</v>
      </c>
      <c r="L47" t="s">
        <v>44</v>
      </c>
      <c r="M47">
        <v>27.7014</v>
      </c>
      <c r="N47">
        <v>85.361000000000004</v>
      </c>
      <c r="O47">
        <v>1315</v>
      </c>
      <c r="P47">
        <v>19.8</v>
      </c>
      <c r="Q47">
        <v>74.900000000000006</v>
      </c>
      <c r="R47">
        <v>59.9</v>
      </c>
      <c r="S47">
        <v>56.2</v>
      </c>
      <c r="T47">
        <v>42.8</v>
      </c>
      <c r="U47">
        <v>7.7</v>
      </c>
      <c r="V47" t="s">
        <v>36</v>
      </c>
      <c r="W47">
        <v>0.38</v>
      </c>
      <c r="X47">
        <v>1.34</v>
      </c>
      <c r="Y47">
        <v>5</v>
      </c>
      <c r="Z47">
        <v>0</v>
      </c>
      <c r="AA47" t="s">
        <v>74</v>
      </c>
      <c r="AB47" t="s">
        <v>45</v>
      </c>
      <c r="AC47">
        <v>3.1</v>
      </c>
    </row>
    <row r="48" spans="1:29" x14ac:dyDescent="0.25">
      <c r="A48">
        <v>47</v>
      </c>
      <c r="B48" t="s">
        <v>107</v>
      </c>
      <c r="C48" s="2">
        <v>0.72430555555555554</v>
      </c>
      <c r="D48" t="s">
        <v>105</v>
      </c>
      <c r="E48" t="s">
        <v>106</v>
      </c>
      <c r="F48" t="s">
        <v>39</v>
      </c>
      <c r="G48" t="s">
        <v>88</v>
      </c>
      <c r="H48" t="s">
        <v>48</v>
      </c>
      <c r="I48">
        <v>6</v>
      </c>
      <c r="J48" t="s">
        <v>34</v>
      </c>
      <c r="K48" t="s">
        <v>34</v>
      </c>
      <c r="L48" t="s">
        <v>49</v>
      </c>
      <c r="M48">
        <v>27.7014</v>
      </c>
      <c r="N48">
        <v>85.361000000000004</v>
      </c>
      <c r="O48">
        <v>1315</v>
      </c>
      <c r="P48">
        <v>24.7</v>
      </c>
      <c r="Q48">
        <v>75</v>
      </c>
      <c r="R48">
        <v>98.9</v>
      </c>
      <c r="S48">
        <v>63.5</v>
      </c>
      <c r="T48">
        <v>37.299999999999997</v>
      </c>
      <c r="U48">
        <v>6</v>
      </c>
      <c r="V48" t="s">
        <v>36</v>
      </c>
      <c r="W48">
        <v>0.47</v>
      </c>
      <c r="X48">
        <v>1.25</v>
      </c>
      <c r="Y48">
        <v>7</v>
      </c>
      <c r="Z48">
        <v>0</v>
      </c>
      <c r="AA48" t="s">
        <v>74</v>
      </c>
      <c r="AB48" t="s">
        <v>45</v>
      </c>
      <c r="AC48">
        <v>3.3</v>
      </c>
    </row>
    <row r="49" spans="1:29" x14ac:dyDescent="0.25">
      <c r="A49">
        <v>48</v>
      </c>
      <c r="B49" s="1">
        <v>46302</v>
      </c>
      <c r="C49" s="2">
        <v>0.37847222222222227</v>
      </c>
      <c r="D49" t="s">
        <v>108</v>
      </c>
      <c r="E49" t="s">
        <v>106</v>
      </c>
      <c r="F49" t="s">
        <v>39</v>
      </c>
      <c r="G49" t="s">
        <v>72</v>
      </c>
      <c r="H49" t="s">
        <v>73</v>
      </c>
      <c r="I49">
        <v>1</v>
      </c>
      <c r="J49" t="s">
        <v>77</v>
      </c>
      <c r="K49" t="s">
        <v>43</v>
      </c>
      <c r="L49" t="s">
        <v>62</v>
      </c>
      <c r="M49">
        <v>27.708200000000001</v>
      </c>
      <c r="N49">
        <v>85.369399999999999</v>
      </c>
      <c r="O49">
        <v>1298</v>
      </c>
      <c r="P49">
        <v>26.2</v>
      </c>
      <c r="Q49">
        <v>77.8</v>
      </c>
      <c r="R49">
        <v>88.1</v>
      </c>
      <c r="S49">
        <v>58.1</v>
      </c>
      <c r="T49">
        <v>44.5</v>
      </c>
      <c r="U49">
        <v>7.2</v>
      </c>
      <c r="V49" t="s">
        <v>36</v>
      </c>
      <c r="W49">
        <v>0.31</v>
      </c>
      <c r="X49">
        <v>1.43</v>
      </c>
      <c r="Y49">
        <v>4</v>
      </c>
      <c r="Z49">
        <v>2</v>
      </c>
      <c r="AA49" t="s">
        <v>74</v>
      </c>
      <c r="AB49" t="s">
        <v>97</v>
      </c>
      <c r="AC49">
        <v>4</v>
      </c>
    </row>
    <row r="50" spans="1:29" x14ac:dyDescent="0.25">
      <c r="A50">
        <v>49</v>
      </c>
      <c r="B50" s="1">
        <v>46330</v>
      </c>
      <c r="C50" s="2">
        <v>0.41041666666666665</v>
      </c>
      <c r="D50" t="s">
        <v>108</v>
      </c>
      <c r="E50" t="s">
        <v>106</v>
      </c>
      <c r="F50" t="s">
        <v>31</v>
      </c>
      <c r="G50" t="s">
        <v>53</v>
      </c>
      <c r="H50" t="s">
        <v>48</v>
      </c>
      <c r="I50">
        <v>1</v>
      </c>
      <c r="J50" t="s">
        <v>34</v>
      </c>
      <c r="K50" t="s">
        <v>34</v>
      </c>
      <c r="L50" t="s">
        <v>49</v>
      </c>
      <c r="M50">
        <v>27.708200000000001</v>
      </c>
      <c r="N50">
        <v>85.369399999999999</v>
      </c>
      <c r="O50">
        <v>1298</v>
      </c>
      <c r="P50">
        <v>20.7</v>
      </c>
      <c r="Q50">
        <v>61.6</v>
      </c>
      <c r="R50">
        <v>45.9</v>
      </c>
      <c r="S50">
        <v>60.5</v>
      </c>
      <c r="T50">
        <v>38.700000000000003</v>
      </c>
      <c r="U50">
        <v>8.8000000000000007</v>
      </c>
      <c r="V50" t="s">
        <v>36</v>
      </c>
      <c r="W50">
        <v>0.56000000000000005</v>
      </c>
      <c r="X50">
        <v>1.18</v>
      </c>
      <c r="Y50">
        <v>4</v>
      </c>
      <c r="Z50">
        <v>0</v>
      </c>
      <c r="AA50" t="s">
        <v>74</v>
      </c>
      <c r="AB50" t="s">
        <v>45</v>
      </c>
      <c r="AC50">
        <v>3.7</v>
      </c>
    </row>
    <row r="51" spans="1:29" x14ac:dyDescent="0.25">
      <c r="A51">
        <v>50</v>
      </c>
      <c r="B51" t="s">
        <v>76</v>
      </c>
      <c r="C51" s="2">
        <v>0.42777777777777781</v>
      </c>
      <c r="D51" t="s">
        <v>108</v>
      </c>
      <c r="E51" t="s">
        <v>106</v>
      </c>
      <c r="F51" t="s">
        <v>31</v>
      </c>
      <c r="G51" t="s">
        <v>51</v>
      </c>
      <c r="H51" t="s">
        <v>48</v>
      </c>
      <c r="I51">
        <v>5</v>
      </c>
      <c r="J51" t="s">
        <v>34</v>
      </c>
      <c r="K51" t="s">
        <v>34</v>
      </c>
      <c r="L51" t="s">
        <v>49</v>
      </c>
      <c r="M51">
        <v>27.708200000000001</v>
      </c>
      <c r="N51">
        <v>85.369399999999999</v>
      </c>
      <c r="O51">
        <v>1298</v>
      </c>
      <c r="P51">
        <v>20.7</v>
      </c>
      <c r="Q51">
        <v>61.6</v>
      </c>
      <c r="R51">
        <v>45.9</v>
      </c>
      <c r="S51">
        <v>60.5</v>
      </c>
      <c r="T51">
        <v>38.700000000000003</v>
      </c>
      <c r="U51">
        <v>8.8000000000000007</v>
      </c>
      <c r="V51" t="s">
        <v>36</v>
      </c>
      <c r="W51">
        <v>0.56000000000000005</v>
      </c>
      <c r="X51">
        <v>1.18</v>
      </c>
      <c r="Y51">
        <v>4</v>
      </c>
      <c r="Z51">
        <v>0</v>
      </c>
      <c r="AA51" t="s">
        <v>74</v>
      </c>
      <c r="AB51" t="s">
        <v>45</v>
      </c>
      <c r="AC51">
        <v>3.7</v>
      </c>
    </row>
    <row r="52" spans="1:29" x14ac:dyDescent="0.25">
      <c r="A52">
        <v>51</v>
      </c>
      <c r="B52" t="s">
        <v>55</v>
      </c>
      <c r="C52" s="2">
        <v>0.375</v>
      </c>
      <c r="D52" t="s">
        <v>108</v>
      </c>
      <c r="E52" t="s">
        <v>106</v>
      </c>
      <c r="F52" t="s">
        <v>39</v>
      </c>
      <c r="G52" t="s">
        <v>63</v>
      </c>
      <c r="H52" t="s">
        <v>61</v>
      </c>
      <c r="I52">
        <v>2</v>
      </c>
      <c r="J52" t="s">
        <v>34</v>
      </c>
      <c r="K52" t="s">
        <v>43</v>
      </c>
      <c r="L52" t="s">
        <v>62</v>
      </c>
      <c r="M52">
        <v>27.708200000000001</v>
      </c>
      <c r="N52">
        <v>85.369399999999999</v>
      </c>
      <c r="O52">
        <v>1298</v>
      </c>
      <c r="P52">
        <v>26.2</v>
      </c>
      <c r="Q52">
        <v>77.8</v>
      </c>
      <c r="R52">
        <v>88.1</v>
      </c>
      <c r="S52">
        <v>58.1</v>
      </c>
      <c r="T52">
        <v>44.5</v>
      </c>
      <c r="U52">
        <v>7.2</v>
      </c>
      <c r="V52" t="s">
        <v>36</v>
      </c>
      <c r="W52">
        <v>0.31</v>
      </c>
      <c r="X52">
        <v>1.43</v>
      </c>
      <c r="Y52">
        <v>4</v>
      </c>
      <c r="Z52">
        <v>2</v>
      </c>
      <c r="AA52" t="s">
        <v>74</v>
      </c>
      <c r="AB52" t="s">
        <v>97</v>
      </c>
      <c r="AC52">
        <v>4</v>
      </c>
    </row>
    <row r="53" spans="1:29" x14ac:dyDescent="0.25">
      <c r="A53">
        <v>52</v>
      </c>
      <c r="B53" t="s">
        <v>92</v>
      </c>
      <c r="C53" s="2">
        <v>0.2722222222222222</v>
      </c>
      <c r="D53" t="s">
        <v>108</v>
      </c>
      <c r="E53" t="s">
        <v>106</v>
      </c>
      <c r="F53" t="s">
        <v>39</v>
      </c>
      <c r="G53" t="s">
        <v>56</v>
      </c>
      <c r="H53" t="s">
        <v>41</v>
      </c>
      <c r="I53">
        <v>6</v>
      </c>
      <c r="J53" t="s">
        <v>34</v>
      </c>
      <c r="K53" t="s">
        <v>43</v>
      </c>
      <c r="L53" t="s">
        <v>44</v>
      </c>
      <c r="M53">
        <v>27.708200000000001</v>
      </c>
      <c r="N53">
        <v>85.369399999999999</v>
      </c>
      <c r="O53">
        <v>1298</v>
      </c>
      <c r="P53">
        <v>26.2</v>
      </c>
      <c r="Q53">
        <v>77.8</v>
      </c>
      <c r="R53">
        <v>88.1</v>
      </c>
      <c r="S53">
        <v>58.1</v>
      </c>
      <c r="T53">
        <v>44.5</v>
      </c>
      <c r="U53">
        <v>7.2</v>
      </c>
      <c r="V53" t="s">
        <v>36</v>
      </c>
      <c r="W53">
        <v>0.31</v>
      </c>
      <c r="X53">
        <v>1.43</v>
      </c>
      <c r="Y53">
        <v>4</v>
      </c>
      <c r="Z53">
        <v>2</v>
      </c>
      <c r="AA53" t="s">
        <v>74</v>
      </c>
      <c r="AB53" t="s">
        <v>97</v>
      </c>
      <c r="AC53">
        <v>4</v>
      </c>
    </row>
    <row r="54" spans="1:29" x14ac:dyDescent="0.25">
      <c r="A54">
        <v>53</v>
      </c>
      <c r="B54" s="1">
        <v>46302</v>
      </c>
      <c r="C54" s="2">
        <v>0.27361111111111108</v>
      </c>
      <c r="D54" t="s">
        <v>109</v>
      </c>
      <c r="E54" t="s">
        <v>106</v>
      </c>
      <c r="F54" t="s">
        <v>39</v>
      </c>
      <c r="G54" t="s">
        <v>84</v>
      </c>
      <c r="H54" t="s">
        <v>61</v>
      </c>
      <c r="I54">
        <v>2</v>
      </c>
      <c r="J54" t="s">
        <v>42</v>
      </c>
      <c r="K54" t="s">
        <v>43</v>
      </c>
      <c r="L54" t="s">
        <v>62</v>
      </c>
      <c r="M54">
        <v>27.695699999999999</v>
      </c>
      <c r="N54">
        <v>85.374799999999993</v>
      </c>
      <c r="O54">
        <v>1332</v>
      </c>
      <c r="P54">
        <v>25.4</v>
      </c>
      <c r="Q54">
        <v>72.2</v>
      </c>
      <c r="R54">
        <v>110.9</v>
      </c>
      <c r="S54">
        <v>69.599999999999994</v>
      </c>
      <c r="T54">
        <v>41.2</v>
      </c>
      <c r="U54">
        <v>6.7</v>
      </c>
      <c r="V54" t="s">
        <v>36</v>
      </c>
      <c r="W54">
        <v>0.46</v>
      </c>
      <c r="X54">
        <v>1.1100000000000001</v>
      </c>
      <c r="Y54">
        <v>3</v>
      </c>
      <c r="Z54">
        <v>4</v>
      </c>
      <c r="AA54" t="s">
        <v>74</v>
      </c>
      <c r="AB54" t="s">
        <v>38</v>
      </c>
      <c r="AC54">
        <v>3.4</v>
      </c>
    </row>
    <row r="55" spans="1:29" x14ac:dyDescent="0.25">
      <c r="A55">
        <v>54</v>
      </c>
      <c r="B55" s="1">
        <v>46333</v>
      </c>
      <c r="C55" s="2">
        <v>0.65902777777777777</v>
      </c>
      <c r="D55" t="s">
        <v>109</v>
      </c>
      <c r="E55" t="s">
        <v>106</v>
      </c>
      <c r="F55" t="s">
        <v>39</v>
      </c>
      <c r="G55" t="s">
        <v>63</v>
      </c>
      <c r="H55" t="s">
        <v>61</v>
      </c>
      <c r="I55">
        <v>3</v>
      </c>
      <c r="J55" t="s">
        <v>77</v>
      </c>
      <c r="K55" t="s">
        <v>34</v>
      </c>
      <c r="L55" t="s">
        <v>62</v>
      </c>
      <c r="M55">
        <v>27.695699999999999</v>
      </c>
      <c r="N55">
        <v>85.374799999999993</v>
      </c>
      <c r="O55">
        <v>1332</v>
      </c>
      <c r="P55">
        <v>25.4</v>
      </c>
      <c r="Q55">
        <v>72.2</v>
      </c>
      <c r="R55">
        <v>110.9</v>
      </c>
      <c r="S55">
        <v>69.599999999999994</v>
      </c>
      <c r="T55">
        <v>41.2</v>
      </c>
      <c r="U55">
        <v>6.7</v>
      </c>
      <c r="V55" t="s">
        <v>36</v>
      </c>
      <c r="W55">
        <v>0.46</v>
      </c>
      <c r="X55">
        <v>1.1100000000000001</v>
      </c>
      <c r="Y55">
        <v>3</v>
      </c>
      <c r="Z55">
        <v>4</v>
      </c>
      <c r="AA55" t="s">
        <v>74</v>
      </c>
      <c r="AB55" t="s">
        <v>38</v>
      </c>
      <c r="AC55">
        <v>3.4</v>
      </c>
    </row>
    <row r="56" spans="1:29" x14ac:dyDescent="0.25">
      <c r="A56">
        <v>55</v>
      </c>
      <c r="B56" t="s">
        <v>76</v>
      </c>
      <c r="C56" s="2">
        <v>0.39166666666666666</v>
      </c>
      <c r="D56" t="s">
        <v>109</v>
      </c>
      <c r="E56" t="s">
        <v>106</v>
      </c>
      <c r="F56" t="s">
        <v>31</v>
      </c>
      <c r="G56" t="s">
        <v>60</v>
      </c>
      <c r="H56" t="s">
        <v>61</v>
      </c>
      <c r="I56">
        <v>3</v>
      </c>
      <c r="J56" t="s">
        <v>42</v>
      </c>
      <c r="K56" t="s">
        <v>43</v>
      </c>
      <c r="L56" t="s">
        <v>62</v>
      </c>
      <c r="M56">
        <v>27.695699999999999</v>
      </c>
      <c r="N56">
        <v>85.374799999999993</v>
      </c>
      <c r="O56">
        <v>1332</v>
      </c>
      <c r="P56">
        <v>20.2</v>
      </c>
      <c r="Q56">
        <v>69.7</v>
      </c>
      <c r="R56">
        <v>46.7</v>
      </c>
      <c r="S56">
        <v>57.6</v>
      </c>
      <c r="T56">
        <v>44.3</v>
      </c>
      <c r="U56">
        <v>5.8</v>
      </c>
      <c r="V56" t="s">
        <v>36</v>
      </c>
      <c r="W56">
        <v>0.35</v>
      </c>
      <c r="X56">
        <v>1.38</v>
      </c>
      <c r="Y56">
        <v>4</v>
      </c>
      <c r="Z56">
        <v>2</v>
      </c>
      <c r="AA56" t="s">
        <v>74</v>
      </c>
      <c r="AB56" t="s">
        <v>45</v>
      </c>
      <c r="AC56">
        <v>4</v>
      </c>
    </row>
    <row r="57" spans="1:29" x14ac:dyDescent="0.25">
      <c r="A57">
        <v>56</v>
      </c>
      <c r="B57" t="s">
        <v>55</v>
      </c>
      <c r="C57" s="2">
        <v>0.71111111111111114</v>
      </c>
      <c r="D57" t="s">
        <v>109</v>
      </c>
      <c r="E57" t="s">
        <v>106</v>
      </c>
      <c r="F57" t="s">
        <v>39</v>
      </c>
      <c r="G57" t="s">
        <v>60</v>
      </c>
      <c r="H57" t="s">
        <v>61</v>
      </c>
      <c r="I57">
        <v>4</v>
      </c>
      <c r="J57" t="s">
        <v>77</v>
      </c>
      <c r="K57" t="s">
        <v>43</v>
      </c>
      <c r="L57" t="s">
        <v>62</v>
      </c>
      <c r="M57">
        <v>27.695699999999999</v>
      </c>
      <c r="N57">
        <v>85.374799999999993</v>
      </c>
      <c r="O57">
        <v>1332</v>
      </c>
      <c r="P57">
        <v>25.4</v>
      </c>
      <c r="Q57">
        <v>72.2</v>
      </c>
      <c r="R57">
        <v>110.9</v>
      </c>
      <c r="S57">
        <v>69.599999999999994</v>
      </c>
      <c r="T57">
        <v>41.2</v>
      </c>
      <c r="U57">
        <v>6.7</v>
      </c>
      <c r="V57" t="s">
        <v>36</v>
      </c>
      <c r="W57">
        <v>0.46</v>
      </c>
      <c r="X57">
        <v>1.1100000000000001</v>
      </c>
      <c r="Y57">
        <v>3</v>
      </c>
      <c r="Z57">
        <v>4</v>
      </c>
      <c r="AA57" t="s">
        <v>74</v>
      </c>
      <c r="AB57" t="s">
        <v>38</v>
      </c>
      <c r="AC57">
        <v>3.4</v>
      </c>
    </row>
    <row r="58" spans="1:29" x14ac:dyDescent="0.25">
      <c r="A58">
        <v>57</v>
      </c>
      <c r="B58" t="s">
        <v>65</v>
      </c>
      <c r="C58" s="2">
        <v>0.74305555555555547</v>
      </c>
      <c r="D58" t="s">
        <v>109</v>
      </c>
      <c r="E58" t="s">
        <v>106</v>
      </c>
      <c r="F58" t="s">
        <v>66</v>
      </c>
      <c r="G58" t="s">
        <v>101</v>
      </c>
      <c r="H58" t="s">
        <v>102</v>
      </c>
      <c r="I58">
        <v>1</v>
      </c>
      <c r="J58" t="s">
        <v>77</v>
      </c>
      <c r="K58" t="s">
        <v>43</v>
      </c>
      <c r="L58" t="s">
        <v>103</v>
      </c>
      <c r="M58">
        <v>27.695699999999999</v>
      </c>
      <c r="N58">
        <v>85.374799999999993</v>
      </c>
      <c r="O58">
        <v>1332</v>
      </c>
      <c r="P58">
        <v>19.7</v>
      </c>
      <c r="Q58">
        <v>72.8</v>
      </c>
      <c r="R58">
        <v>59.2</v>
      </c>
      <c r="S58">
        <v>58.7</v>
      </c>
      <c r="T58">
        <v>35.6</v>
      </c>
      <c r="U58">
        <v>4.8</v>
      </c>
      <c r="V58" t="s">
        <v>36</v>
      </c>
      <c r="W58">
        <v>0.3</v>
      </c>
      <c r="X58">
        <v>0.96</v>
      </c>
      <c r="Y58">
        <v>7</v>
      </c>
      <c r="Z58">
        <v>2</v>
      </c>
      <c r="AA58" t="s">
        <v>74</v>
      </c>
      <c r="AB58" t="s">
        <v>38</v>
      </c>
      <c r="AC58">
        <v>4.5999999999999996</v>
      </c>
    </row>
    <row r="59" spans="1:29" x14ac:dyDescent="0.25">
      <c r="A59">
        <v>58</v>
      </c>
      <c r="B59" t="s">
        <v>80</v>
      </c>
      <c r="C59" s="2">
        <v>0.4368055555555555</v>
      </c>
      <c r="D59" t="s">
        <v>109</v>
      </c>
      <c r="E59" t="s">
        <v>106</v>
      </c>
      <c r="F59" t="s">
        <v>31</v>
      </c>
      <c r="G59" t="s">
        <v>32</v>
      </c>
      <c r="H59" t="s">
        <v>33</v>
      </c>
      <c r="I59">
        <v>6</v>
      </c>
      <c r="J59" t="s">
        <v>34</v>
      </c>
      <c r="K59" t="s">
        <v>34</v>
      </c>
      <c r="L59" t="s">
        <v>35</v>
      </c>
      <c r="M59">
        <v>27.695699999999999</v>
      </c>
      <c r="N59">
        <v>85.374799999999993</v>
      </c>
      <c r="O59">
        <v>1332</v>
      </c>
      <c r="P59">
        <v>20.2</v>
      </c>
      <c r="Q59">
        <v>69.7</v>
      </c>
      <c r="R59">
        <v>46.7</v>
      </c>
      <c r="S59">
        <v>57.6</v>
      </c>
      <c r="T59">
        <v>44.3</v>
      </c>
      <c r="U59">
        <v>5.8</v>
      </c>
      <c r="V59" t="s">
        <v>36</v>
      </c>
      <c r="W59">
        <v>0.35</v>
      </c>
      <c r="X59">
        <v>1.38</v>
      </c>
      <c r="Y59">
        <v>4</v>
      </c>
      <c r="Z59">
        <v>2</v>
      </c>
      <c r="AA59" t="s">
        <v>74</v>
      </c>
      <c r="AB59" t="s">
        <v>45</v>
      </c>
      <c r="AC59">
        <v>4</v>
      </c>
    </row>
    <row r="60" spans="1:29" x14ac:dyDescent="0.25">
      <c r="A60">
        <v>59</v>
      </c>
      <c r="B60" t="s">
        <v>82</v>
      </c>
      <c r="C60" s="2">
        <v>0.39930555555555558</v>
      </c>
      <c r="D60" t="s">
        <v>109</v>
      </c>
      <c r="E60" t="s">
        <v>106</v>
      </c>
      <c r="F60" t="s">
        <v>71</v>
      </c>
      <c r="G60" t="s">
        <v>72</v>
      </c>
      <c r="H60" t="s">
        <v>73</v>
      </c>
      <c r="I60">
        <v>1</v>
      </c>
      <c r="J60" t="s">
        <v>34</v>
      </c>
      <c r="K60" t="s">
        <v>43</v>
      </c>
      <c r="L60" t="s">
        <v>62</v>
      </c>
      <c r="M60">
        <v>27.695699999999999</v>
      </c>
      <c r="N60">
        <v>85.374799999999993</v>
      </c>
      <c r="O60">
        <v>1332</v>
      </c>
      <c r="P60">
        <v>15</v>
      </c>
      <c r="Q60">
        <v>64.2</v>
      </c>
      <c r="R60">
        <v>0.7</v>
      </c>
      <c r="S60">
        <v>52.5</v>
      </c>
      <c r="T60">
        <v>36.5</v>
      </c>
      <c r="U60">
        <v>6.2</v>
      </c>
      <c r="V60" t="s">
        <v>36</v>
      </c>
      <c r="W60">
        <v>0.47</v>
      </c>
      <c r="X60">
        <v>1.1399999999999999</v>
      </c>
      <c r="Y60">
        <v>3</v>
      </c>
      <c r="Z60">
        <v>1</v>
      </c>
      <c r="AA60" t="s">
        <v>74</v>
      </c>
      <c r="AB60" t="s">
        <v>45</v>
      </c>
      <c r="AC60">
        <v>4.3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ANOVA</vt:lpstr>
      <vt:lpstr>Species Richness</vt:lpstr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2026-08-14T02:25:07Z</dcterms:modified>
</cp:coreProperties>
</file>